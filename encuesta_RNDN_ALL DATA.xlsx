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Kelly\To Read and Work\2025_SPDA\Dorsal de Nazca\Paper Caracterizacion Pesquera\"/>
    </mc:Choice>
  </mc:AlternateContent>
  <xr:revisionPtr revIDLastSave="0" documentId="13_ncr:1_{808493BD-3AFE-4CA6-A183-1C2CD2068C9E}" xr6:coauthVersionLast="47" xr6:coauthVersionMax="47" xr10:uidLastSave="{00000000-0000-0000-0000-000000000000}"/>
  <bookViews>
    <workbookView xWindow="2160" yWindow="2760" windowWidth="21600" windowHeight="11235" activeTab="1" xr2:uid="{85C8624A-6E31-4F03-88C0-D8212479042D}"/>
  </bookViews>
  <sheets>
    <sheet name="Pucusana" sheetId="1" r:id="rId1"/>
    <sheet name="Marcona" sheetId="9" r:id="rId2"/>
    <sheet name="Andres" sheetId="10" r:id="rId3"/>
    <sheet name="Lomas" sheetId="15" r:id="rId4"/>
    <sheet name="Dias de faena" sheetId="4" state="hidden" r:id="rId5"/>
  </sheets>
  <definedNames>
    <definedName name="_xlnm._FilterDatabase" localSheetId="1" hidden="1">Marcona!$BW$1:$BW$34</definedName>
    <definedName name="_xlnm._FilterDatabase" localSheetId="0" hidden="1">Pucusana!$CJ$1:$CJ$52</definedName>
    <definedName name="_xlchart.v1.0" hidden="1">'Dias de faena'!$A$3:$A$84</definedName>
    <definedName name="_xlchart.v1.1" hidden="1">'Dias de faena'!$D$3:$D$84</definedName>
    <definedName name="_xlchart.v1.2" hidden="1">'Dias de faena'!$A$169:$A$209</definedName>
    <definedName name="_xlchart.v1.3" hidden="1">'Dias de faena'!$D$169:$D$209</definedName>
    <definedName name="_xlchart.v1.4" hidden="1">'Dias de faena'!$A$91:$A$163</definedName>
    <definedName name="_xlchart.v1.5" hidden="1">'Dias de faena'!$D$91:$D$163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5" l="1"/>
  <c r="L4" i="15"/>
  <c r="L5" i="15"/>
  <c r="L6" i="15"/>
  <c r="L7" i="15"/>
  <c r="L8" i="15"/>
  <c r="L9" i="15"/>
  <c r="L10" i="15"/>
  <c r="L11" i="15"/>
  <c r="L12" i="15"/>
  <c r="L13" i="15"/>
  <c r="L14" i="15"/>
  <c r="L15" i="15"/>
  <c r="L16" i="15"/>
  <c r="L2" i="15"/>
  <c r="BB6" i="15"/>
  <c r="D27" i="4"/>
  <c r="D29" i="4"/>
  <c r="D205" i="4"/>
  <c r="D206" i="4"/>
  <c r="D207" i="4"/>
  <c r="D208" i="4"/>
  <c r="D209" i="4"/>
  <c r="D204" i="4"/>
  <c r="D176" i="4"/>
  <c r="D177" i="4"/>
  <c r="D178" i="4"/>
  <c r="D179" i="4"/>
  <c r="D180" i="4"/>
  <c r="D203" i="4"/>
  <c r="D169" i="4"/>
  <c r="D170" i="4"/>
  <c r="D171" i="4"/>
  <c r="D172" i="4"/>
  <c r="D173" i="4"/>
  <c r="D174" i="4"/>
  <c r="D175" i="4"/>
  <c r="D182" i="4"/>
  <c r="D183" i="4"/>
  <c r="D184" i="4"/>
  <c r="D185" i="4"/>
  <c r="D186" i="4"/>
  <c r="D187" i="4"/>
  <c r="D188" i="4"/>
  <c r="D189" i="4"/>
  <c r="D190" i="4"/>
  <c r="D191" i="4"/>
  <c r="D192" i="4"/>
  <c r="D193" i="4"/>
  <c r="D194" i="4"/>
  <c r="D195" i="4"/>
  <c r="D196" i="4"/>
  <c r="D197" i="4"/>
  <c r="D198" i="4"/>
  <c r="D199" i="4"/>
  <c r="D200" i="4"/>
  <c r="D201" i="4"/>
  <c r="D202" i="4"/>
  <c r="D181" i="4"/>
  <c r="L3" i="10"/>
  <c r="L4" i="10"/>
  <c r="L5" i="10"/>
  <c r="L6" i="10"/>
  <c r="L7" i="10"/>
  <c r="L8" i="10"/>
  <c r="L9" i="10"/>
  <c r="L10" i="10"/>
  <c r="L11" i="10"/>
  <c r="L12" i="10"/>
  <c r="L13" i="10"/>
  <c r="L14" i="10"/>
  <c r="L15" i="10"/>
  <c r="L16" i="10"/>
  <c r="L17" i="10"/>
  <c r="L18" i="10"/>
  <c r="L19" i="10"/>
  <c r="L20" i="10"/>
  <c r="L21" i="10"/>
  <c r="L22" i="10"/>
  <c r="L23" i="10"/>
  <c r="L24" i="10"/>
  <c r="L2" i="10"/>
  <c r="D161"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59" i="4"/>
  <c r="D160" i="4"/>
  <c r="D162" i="4"/>
  <c r="D163" i="4"/>
  <c r="D158"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27" i="4"/>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2" i="9"/>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2" i="1"/>
  <c r="D41" i="4"/>
  <c r="D84" i="4"/>
  <c r="D83" i="4"/>
  <c r="D82" i="4"/>
  <c r="D81" i="4"/>
  <c r="D80" i="4"/>
  <c r="D79" i="4"/>
  <c r="D78" i="4"/>
  <c r="D77" i="4"/>
  <c r="D76" i="4"/>
  <c r="D75" i="4"/>
  <c r="D74" i="4"/>
  <c r="D72" i="4"/>
  <c r="D73" i="4"/>
  <c r="D71" i="4"/>
  <c r="D64" i="4"/>
  <c r="D65" i="4"/>
  <c r="D66" i="4"/>
  <c r="D67" i="4"/>
  <c r="D68" i="4"/>
  <c r="D69" i="4"/>
  <c r="D70" i="4"/>
  <c r="D62" i="4"/>
  <c r="D63" i="4"/>
  <c r="D61" i="4"/>
  <c r="D60" i="4"/>
  <c r="D59" i="4"/>
  <c r="D58" i="4"/>
  <c r="D57" i="4"/>
  <c r="D56" i="4"/>
  <c r="D55" i="4"/>
  <c r="D54" i="4"/>
  <c r="D53" i="4"/>
  <c r="D52" i="4"/>
  <c r="D51" i="4"/>
  <c r="D50" i="4"/>
  <c r="D49" i="4"/>
  <c r="D48" i="4"/>
  <c r="D47" i="4"/>
  <c r="D46" i="4"/>
  <c r="D45" i="4"/>
  <c r="D44" i="4"/>
  <c r="D43" i="4"/>
  <c r="D24" i="4"/>
  <c r="D25" i="4"/>
  <c r="D26" i="4"/>
  <c r="D28" i="4"/>
  <c r="D30" i="4"/>
  <c r="D31" i="4"/>
  <c r="D32" i="4"/>
  <c r="D33" i="4"/>
  <c r="D34" i="4"/>
  <c r="D35" i="4"/>
  <c r="D36" i="4"/>
  <c r="D37" i="4"/>
  <c r="D38" i="4"/>
  <c r="D39" i="4"/>
  <c r="D40" i="4"/>
  <c r="D42" i="4"/>
  <c r="D4" i="4"/>
  <c r="D5" i="4"/>
  <c r="D6" i="4"/>
  <c r="D7" i="4"/>
  <c r="D8" i="4"/>
  <c r="D9" i="4"/>
  <c r="D10" i="4"/>
  <c r="D11" i="4"/>
  <c r="D12" i="4"/>
  <c r="D13" i="4"/>
  <c r="D14" i="4"/>
  <c r="D15" i="4"/>
  <c r="D16" i="4"/>
  <c r="D17" i="4"/>
  <c r="D18" i="4"/>
  <c r="D19" i="4"/>
  <c r="D20" i="4"/>
  <c r="D21" i="4"/>
  <c r="D22" i="4"/>
  <c r="D23" i="4"/>
  <c r="D3" i="4"/>
  <c r="G38" i="4" l="1"/>
  <c r="G37" i="4"/>
  <c r="G29" i="4"/>
  <c r="G27" i="4"/>
  <c r="G49" i="4"/>
  <c r="G6" i="4"/>
  <c r="G32" i="4"/>
  <c r="G25" i="4"/>
  <c r="G31" i="4"/>
  <c r="G64" i="4"/>
  <c r="G55" i="4"/>
  <c r="G70" i="4"/>
  <c r="G30" i="4"/>
  <c r="G4" i="4"/>
  <c r="G68" i="4"/>
  <c r="G60" i="4"/>
  <c r="G52" i="4"/>
  <c r="G33" i="4"/>
  <c r="G48" i="4"/>
  <c r="G40" i="4"/>
  <c r="G47" i="4"/>
  <c r="G39" i="4"/>
  <c r="G54" i="4"/>
  <c r="G3" i="4"/>
  <c r="G69" i="4"/>
  <c r="G5" i="4"/>
  <c r="G36" i="4"/>
  <c r="G28" i="4"/>
  <c r="G67" i="4"/>
  <c r="G59" i="4"/>
  <c r="G51" i="4"/>
  <c r="G41" i="4"/>
  <c r="G56" i="4"/>
  <c r="G45" i="4"/>
  <c r="G62" i="4"/>
  <c r="G61" i="4"/>
  <c r="G35" i="4"/>
  <c r="G26" i="4"/>
  <c r="G66" i="4"/>
  <c r="G58" i="4"/>
  <c r="G50" i="4"/>
  <c r="G63" i="4"/>
  <c r="G46" i="4"/>
  <c r="G53" i="4"/>
  <c r="G42" i="4"/>
  <c r="G34" i="4"/>
  <c r="G65" i="4"/>
  <c r="G57" i="4"/>
  <c r="J47" i="4" l="1"/>
  <c r="J25" i="4"/>
  <c r="J29" i="4"/>
  <c r="J30" i="4"/>
  <c r="J26" i="4"/>
  <c r="J27" i="4"/>
  <c r="J49" i="4"/>
  <c r="J46" i="4"/>
  <c r="J48" i="4"/>
  <c r="J45" i="4"/>
  <c r="J28" i="4"/>
</calcChain>
</file>

<file path=xl/sharedStrings.xml><?xml version="1.0" encoding="utf-8"?>
<sst xmlns="http://schemas.openxmlformats.org/spreadsheetml/2006/main" count="10531" uniqueCount="1760">
  <si>
    <t>Encuesta</t>
  </si>
  <si>
    <t>Nombre_Encuestador</t>
  </si>
  <si>
    <t>Fecha_Encuesta</t>
  </si>
  <si>
    <t>Nombre_Pescador</t>
  </si>
  <si>
    <t>DNI</t>
  </si>
  <si>
    <t>Años_Altura</t>
  </si>
  <si>
    <t>Puerto_Zarpe</t>
  </si>
  <si>
    <t>Fecha_Nacimiento</t>
  </si>
  <si>
    <t>Sexo</t>
  </si>
  <si>
    <t>Estado_Civil</t>
  </si>
  <si>
    <t>Grado_Instruccion</t>
  </si>
  <si>
    <t>Alfabeto</t>
  </si>
  <si>
    <t>Años_Pesca</t>
  </si>
  <si>
    <t>OSPA</t>
  </si>
  <si>
    <t>Nombre_OSPA</t>
  </si>
  <si>
    <t>Alterna_Pesca</t>
  </si>
  <si>
    <t>Actividad_Alterna</t>
  </si>
  <si>
    <t>Personas_Dependientes</t>
  </si>
  <si>
    <t>Numero_hijos</t>
  </si>
  <si>
    <t>Actividades_Pareja</t>
  </si>
  <si>
    <t>Rol_Familiares</t>
  </si>
  <si>
    <t>Genero_Opotunidades</t>
  </si>
  <si>
    <t>Genero_Pago</t>
  </si>
  <si>
    <t>Embarcacion_Propia</t>
  </si>
  <si>
    <t>Galones_Combustible</t>
  </si>
  <si>
    <t>Arte_1</t>
  </si>
  <si>
    <t>Recurso_1</t>
  </si>
  <si>
    <t>Detalles_Arte1</t>
  </si>
  <si>
    <t>Arte_2</t>
  </si>
  <si>
    <t>Recurso_2</t>
  </si>
  <si>
    <t>Viajes_Temporada1</t>
  </si>
  <si>
    <t>Viajes_Temporada2</t>
  </si>
  <si>
    <t>Detalles_Arte2</t>
  </si>
  <si>
    <t>Carnada1</t>
  </si>
  <si>
    <t>Dias_Faena1</t>
  </si>
  <si>
    <t>Horas_Efectivas1</t>
  </si>
  <si>
    <t>Lances_Faena1</t>
  </si>
  <si>
    <t>Venta_Recurso1</t>
  </si>
  <si>
    <t>Precio_Kg1</t>
  </si>
  <si>
    <t>Carnada2</t>
  </si>
  <si>
    <t>Dias_Faena2</t>
  </si>
  <si>
    <t>Horas_Efectivas2</t>
  </si>
  <si>
    <t>Lances_Faena2</t>
  </si>
  <si>
    <t>Venta_Recurso2</t>
  </si>
  <si>
    <t>Precio_Kg2</t>
  </si>
  <si>
    <t>Observaciones</t>
  </si>
  <si>
    <t>Arte_3</t>
  </si>
  <si>
    <t>Recurso_3</t>
  </si>
  <si>
    <t>Viajes_Temporada3</t>
  </si>
  <si>
    <t>Detalles_Arte3</t>
  </si>
  <si>
    <t>Carnada3</t>
  </si>
  <si>
    <t>Dias_Faena3</t>
  </si>
  <si>
    <t>Horas_Efectivas3</t>
  </si>
  <si>
    <t>Lances_Faena3</t>
  </si>
  <si>
    <t>Captura_Lance3</t>
  </si>
  <si>
    <t>Captura_Faena3</t>
  </si>
  <si>
    <t>Venta_Recurso3</t>
  </si>
  <si>
    <t>Precio_Kg3</t>
  </si>
  <si>
    <t>Distrito_Vivienda</t>
  </si>
  <si>
    <t>M</t>
  </si>
  <si>
    <t>Secundaria</t>
  </si>
  <si>
    <t>si</t>
  </si>
  <si>
    <t>Armador, Patrón</t>
  </si>
  <si>
    <t>no</t>
  </si>
  <si>
    <t>GenOpor_No</t>
  </si>
  <si>
    <t>GenPago_No</t>
  </si>
  <si>
    <t>NA</t>
  </si>
  <si>
    <t>Num_Embarcaciones</t>
  </si>
  <si>
    <t>Num_Tripulantes1</t>
  </si>
  <si>
    <t>Edades_Tripulantes1</t>
  </si>
  <si>
    <t>Trampa Ovas</t>
  </si>
  <si>
    <t>Ova</t>
  </si>
  <si>
    <t>Nacionalidad_Trip1</t>
  </si>
  <si>
    <t>48-72</t>
  </si>
  <si>
    <t>Kg_Lance1</t>
  </si>
  <si>
    <t>Kg_Faena1</t>
  </si>
  <si>
    <t>12-15</t>
  </si>
  <si>
    <t>4-5</t>
  </si>
  <si>
    <t>Acopiador</t>
  </si>
  <si>
    <t>Perico</t>
  </si>
  <si>
    <t>1-2</t>
  </si>
  <si>
    <t>Kg_Lance2</t>
  </si>
  <si>
    <t>Kg_Faena2</t>
  </si>
  <si>
    <t>15-20</t>
  </si>
  <si>
    <t>10-12</t>
  </si>
  <si>
    <t>15-30</t>
  </si>
  <si>
    <t>Num_Tripulantes2</t>
  </si>
  <si>
    <t>Edades_Tripulantes2</t>
  </si>
  <si>
    <t>Nacionalidad_Trip2</t>
  </si>
  <si>
    <t>Soltero</t>
  </si>
  <si>
    <t>Superior Técnico</t>
  </si>
  <si>
    <t>Pareja</t>
  </si>
  <si>
    <t>FamiliaDirecta_Pesca</t>
  </si>
  <si>
    <t>NS</t>
  </si>
  <si>
    <t>500-1000</t>
  </si>
  <si>
    <t>40-50</t>
  </si>
  <si>
    <t>Bonito</t>
  </si>
  <si>
    <t>Temporada1</t>
  </si>
  <si>
    <t>Octubre-Marzo</t>
  </si>
  <si>
    <t>Temporada2</t>
  </si>
  <si>
    <t>Temporada3</t>
  </si>
  <si>
    <t>Enero-Marzo</t>
  </si>
  <si>
    <t>Octubre-Abril</t>
  </si>
  <si>
    <t>1-5</t>
  </si>
  <si>
    <t>Peruana</t>
  </si>
  <si>
    <t>30-60</t>
  </si>
  <si>
    <t>Rol_Pescador</t>
  </si>
  <si>
    <t>Cortina superficial</t>
  </si>
  <si>
    <t>Casado/Conviviente</t>
  </si>
  <si>
    <t>PTH_1</t>
  </si>
  <si>
    <t>Radiobaliza_1</t>
  </si>
  <si>
    <t>SISESAT_1</t>
  </si>
  <si>
    <t>Matricula_1</t>
  </si>
  <si>
    <t>TN_Bodega_1</t>
  </si>
  <si>
    <t>Nombre1_EmbarcacionAltura</t>
  </si>
  <si>
    <t>Nombre2_EmbarcacionAltura</t>
  </si>
  <si>
    <t>Matricula_2</t>
  </si>
  <si>
    <t>SISESAT_2</t>
  </si>
  <si>
    <t>Radiobaliza_2</t>
  </si>
  <si>
    <t>PTH_2</t>
  </si>
  <si>
    <t>TN_Bodega_2</t>
  </si>
  <si>
    <t>Seguro_Salud</t>
  </si>
  <si>
    <t>Puerto_Arribo</t>
  </si>
  <si>
    <t>CC-PUCUSANA-001</t>
  </si>
  <si>
    <t>KD-PUCUSANA-001</t>
  </si>
  <si>
    <t>Kelly Diaz</t>
  </si>
  <si>
    <t>Manuel Jose Avalos Carrillo</t>
  </si>
  <si>
    <t>Pucusana</t>
  </si>
  <si>
    <t>Pucusana, Pisco, San Andrés</t>
  </si>
  <si>
    <t>Patrón</t>
  </si>
  <si>
    <t>Asociación Gremio de Pescadores de Pucusana</t>
  </si>
  <si>
    <t>Secretario del Gremio</t>
  </si>
  <si>
    <t>Ama de casa</t>
  </si>
  <si>
    <t>CO-05274-BM</t>
  </si>
  <si>
    <t>EL GRAN SHADAI</t>
  </si>
  <si>
    <t>68-85</t>
  </si>
  <si>
    <t>25-40</t>
  </si>
  <si>
    <t>Octubre-Mayo</t>
  </si>
  <si>
    <t>40</t>
  </si>
  <si>
    <t>#paños: 10, cocada: 4 pulgadas, malla 4.5 x ?? M</t>
  </si>
  <si>
    <t>1000-2000</t>
  </si>
  <si>
    <t>Octubre-Noviembre</t>
  </si>
  <si>
    <t>2-3</t>
  </si>
  <si>
    <t>72-96</t>
  </si>
  <si>
    <t>10</t>
  </si>
  <si>
    <t>200-500</t>
  </si>
  <si>
    <t>37-40</t>
  </si>
  <si>
    <t>Esteras y palmeras. Usa 20-21 trampas, en 3 filas de 5. Dimensiones de trampa 3x1.5 metros</t>
  </si>
  <si>
    <t>Precio (kg) de ova con ojo: 5 soles. Temperatura para la ova debe ser entre 18-20 C. Si el agua esta fria, la trampa se queda en el agua por 4 dias; si esta caliente, por 2.5 a 3 dias</t>
  </si>
  <si>
    <t>KD-PUCUSANA-002</t>
  </si>
  <si>
    <t>04636818</t>
  </si>
  <si>
    <t>Rene Yupanqui Mendoza</t>
  </si>
  <si>
    <t>Administra la embarcación y el recurso</t>
  </si>
  <si>
    <t>La fuerza fisica natural no es la misma</t>
  </si>
  <si>
    <t>1 hijo: dueño de lancha en Ilo</t>
  </si>
  <si>
    <t>Costumbre y opiniones antiguas</t>
  </si>
  <si>
    <t>FAVIMAR I</t>
  </si>
  <si>
    <t>FAVIMAR</t>
  </si>
  <si>
    <t>CO-65441-BM</t>
  </si>
  <si>
    <t>PT-40356-BM</t>
  </si>
  <si>
    <t>200-250</t>
  </si>
  <si>
    <t>Pinta Potera</t>
  </si>
  <si>
    <t>20-40</t>
  </si>
  <si>
    <t>Pota</t>
  </si>
  <si>
    <t>2 viajes/mes</t>
  </si>
  <si>
    <t>1.5-2</t>
  </si>
  <si>
    <t>1-10</t>
  </si>
  <si>
    <t>Enero-Diciembre</t>
  </si>
  <si>
    <t>24</t>
  </si>
  <si>
    <t>#paños: 6, cocada: 4 pulgadas, malla 4.5x9 metros</t>
  </si>
  <si>
    <t>6</t>
  </si>
  <si>
    <t>15-18</t>
  </si>
  <si>
    <t>200-1000</t>
  </si>
  <si>
    <t>3000-4000</t>
  </si>
  <si>
    <t>Noviembre-Febrero</t>
  </si>
  <si>
    <t>30-40</t>
  </si>
  <si>
    <t>80-150</t>
  </si>
  <si>
    <t>1000-1500</t>
  </si>
  <si>
    <t>KD-PUCUSANA-003</t>
  </si>
  <si>
    <t>KD-PUCUSANA-004</t>
  </si>
  <si>
    <t>KD-PUCUSANA-005</t>
  </si>
  <si>
    <t>KD-PUCUSANA-006</t>
  </si>
  <si>
    <t>KD-PUCUSANA-007</t>
  </si>
  <si>
    <t>KD-PUCUSANA-008</t>
  </si>
  <si>
    <t>KD-PUCUSANA-009</t>
  </si>
  <si>
    <t>KD-PUCUSANA-010</t>
  </si>
  <si>
    <t>KD-PUCUSANA-011</t>
  </si>
  <si>
    <t>KD-PUCUSANA-012</t>
  </si>
  <si>
    <t>KD-PUCUSANA-013</t>
  </si>
  <si>
    <t>KD-PUCUSANA-014</t>
  </si>
  <si>
    <t>KD-PUCUSANA-015</t>
  </si>
  <si>
    <t>KD-PUCUSANA-016</t>
  </si>
  <si>
    <t>KD-PUCUSANA-017</t>
  </si>
  <si>
    <t>KD-PUCUSANA-018</t>
  </si>
  <si>
    <t>KD-PUCUSANA-019</t>
  </si>
  <si>
    <t>KD-PUCUSANA-020</t>
  </si>
  <si>
    <t>KD-PUCUSANA-021</t>
  </si>
  <si>
    <t>KD-PUCUSANA-022</t>
  </si>
  <si>
    <t>KD-PUCUSANA-023</t>
  </si>
  <si>
    <t>KD-PUCUSANA-024</t>
  </si>
  <si>
    <t>KD-PUCUSANA-025</t>
  </si>
  <si>
    <t>KD-PUCUSANA-026</t>
  </si>
  <si>
    <t>KD-PUCUSANA-027</t>
  </si>
  <si>
    <t>KD-PUCUSANA-028</t>
  </si>
  <si>
    <t>KD-PUCUSANA-029</t>
  </si>
  <si>
    <t>KD-PUCUSANA-030</t>
  </si>
  <si>
    <t>KD-PUCUSANA-031</t>
  </si>
  <si>
    <t>KD-PUCUSANA-032</t>
  </si>
  <si>
    <t>KD-PUCUSANA-033</t>
  </si>
  <si>
    <t>Adolfo Climber Molina Cespedes</t>
  </si>
  <si>
    <t>Telefono</t>
  </si>
  <si>
    <t>Pucusana, Chimbote, Ilo</t>
  </si>
  <si>
    <t>Privado</t>
  </si>
  <si>
    <t>Turismo</t>
  </si>
  <si>
    <t>Mantenimiento en la isla de Pucusana</t>
  </si>
  <si>
    <t>DON VICTOR</t>
  </si>
  <si>
    <t>no recuerda</t>
  </si>
  <si>
    <t>JUANITA</t>
  </si>
  <si>
    <t>250-300</t>
  </si>
  <si>
    <t>Espinel</t>
  </si>
  <si>
    <t>si, pota, lisa, tamborin</t>
  </si>
  <si>
    <t>4-8</t>
  </si>
  <si>
    <t>10-15</t>
  </si>
  <si>
    <t>1500-2000</t>
  </si>
  <si>
    <t>Septiembre-Enero</t>
  </si>
  <si>
    <t>3-4</t>
  </si>
  <si>
    <t>Linea madre: 17 millas. #anzuelos: 2500. 1 anzuelo/linea. Calibre: 5</t>
  </si>
  <si>
    <t>30-45</t>
  </si>
  <si>
    <t>100-500</t>
  </si>
  <si>
    <t>3000-5000</t>
  </si>
  <si>
    <t>30-35</t>
  </si>
  <si>
    <t>Cortina Superficial</t>
  </si>
  <si>
    <t>20-24</t>
  </si>
  <si>
    <t>#paños: 10, cocada: 4 pulgadas, malla 6x500 metros</t>
  </si>
  <si>
    <t>20-25</t>
  </si>
  <si>
    <t>20-5000</t>
  </si>
  <si>
    <t>5000-10000</t>
  </si>
  <si>
    <t>995 555 047</t>
  </si>
  <si>
    <t>908 619 439</t>
  </si>
  <si>
    <t>967 688 205</t>
  </si>
  <si>
    <t>Jose Carlos Florian Peña</t>
  </si>
  <si>
    <t>Pucusana, Atico, La Planchada, Ancón, Marcona</t>
  </si>
  <si>
    <t>Pucusana, Ancón, Pisco</t>
  </si>
  <si>
    <t>Enfermera</t>
  </si>
  <si>
    <t>JOSEPH SCHALOOM II</t>
  </si>
  <si>
    <t>CO-37277-BM</t>
  </si>
  <si>
    <t>300-340</t>
  </si>
  <si>
    <t>25-60</t>
  </si>
  <si>
    <t>Septiembre-Abril</t>
  </si>
  <si>
    <t>#paños: 8-10, cocada: 4-4.5 pulgadas, malla 4.5 x 1500 m</t>
  </si>
  <si>
    <t>1000-4000</t>
  </si>
  <si>
    <t>4000-6000</t>
  </si>
  <si>
    <t>2-5</t>
  </si>
  <si>
    <t>si, pota, caballa</t>
  </si>
  <si>
    <t>Noviembre-Enero</t>
  </si>
  <si>
    <t>Linea madre: 9000 m. #anzuelos: 600-1000. 1 anzuelo/linea. Calibre: 5</t>
  </si>
  <si>
    <t>4000-5000</t>
  </si>
  <si>
    <t>Octubre-Enero</t>
  </si>
  <si>
    <t>4</t>
  </si>
  <si>
    <t>25</t>
  </si>
  <si>
    <t>72</t>
  </si>
  <si>
    <t>7-8</t>
  </si>
  <si>
    <t>4000-7000</t>
  </si>
  <si>
    <t>4-7</t>
  </si>
  <si>
    <t>Zacarias Juan Chavez Truevas</t>
  </si>
  <si>
    <t>Entrenador de futbol</t>
  </si>
  <si>
    <t>Turismo y Limpieza</t>
  </si>
  <si>
    <t>1 hijo: tripulante</t>
  </si>
  <si>
    <t>3 (solo 1 opera)</t>
  </si>
  <si>
    <t>NIÑO JESUS</t>
  </si>
  <si>
    <t>TA-60295-BM</t>
  </si>
  <si>
    <t>25-46</t>
  </si>
  <si>
    <t>24-48</t>
  </si>
  <si>
    <t>2-4 viajes/mes</t>
  </si>
  <si>
    <t>7</t>
  </si>
  <si>
    <t>1000-5000</t>
  </si>
  <si>
    <t>1-4</t>
  </si>
  <si>
    <t>12</t>
  </si>
  <si>
    <t>1 viaje/mes. No es una pesca constante</t>
  </si>
  <si>
    <t>2</t>
  </si>
  <si>
    <t>no sabe</t>
  </si>
  <si>
    <t>100-400</t>
  </si>
  <si>
    <t>200-2000</t>
  </si>
  <si>
    <t>Carlos Alfonso Navarrete La Madrid</t>
  </si>
  <si>
    <t>Pucusana, Pisco, Callao</t>
  </si>
  <si>
    <t>Armador</t>
  </si>
  <si>
    <t>Obstetra</t>
  </si>
  <si>
    <t>MICAELA Y ADRIAN</t>
  </si>
  <si>
    <t>CO-59871-BM</t>
  </si>
  <si>
    <t>PS-56767-BM</t>
  </si>
  <si>
    <t>300-350</t>
  </si>
  <si>
    <t>Diciembre-Junio</t>
  </si>
  <si>
    <t>25-28</t>
  </si>
  <si>
    <t>4 viajes/mes</t>
  </si>
  <si>
    <t>1-6</t>
  </si>
  <si>
    <t>Acopiador, minorista (chinchanos, para el mercado local compran la pota chancada)</t>
  </si>
  <si>
    <t>07896918</t>
  </si>
  <si>
    <t>Ismael Porfirio Rueda Navarro</t>
  </si>
  <si>
    <t>Divorciado</t>
  </si>
  <si>
    <t>1 hijo: mantenimiento y a veces tripulante</t>
  </si>
  <si>
    <t>no se suele llevar mujeres a altura</t>
  </si>
  <si>
    <t>ISMAEL Y LEO</t>
  </si>
  <si>
    <t>CO-39328-BM</t>
  </si>
  <si>
    <t>ISMAEL Y LEO III</t>
  </si>
  <si>
    <t>CO-43396-BM</t>
  </si>
  <si>
    <t>140-270</t>
  </si>
  <si>
    <t>#paños: 10, cocada: 4 pulgadas, malla 6 x 100 m</t>
  </si>
  <si>
    <t>12-20</t>
  </si>
  <si>
    <t>300-2000</t>
  </si>
  <si>
    <t>3000-6000</t>
  </si>
  <si>
    <t>5</t>
  </si>
  <si>
    <t>Septiembre-Junio</t>
  </si>
  <si>
    <t>35-40</t>
  </si>
  <si>
    <t>Septiembre-Diciembre</t>
  </si>
  <si>
    <t>8</t>
  </si>
  <si>
    <t>3</t>
  </si>
  <si>
    <t>80-100</t>
  </si>
  <si>
    <t>26-37</t>
  </si>
  <si>
    <t>07896692</t>
  </si>
  <si>
    <t>Isaias Torrejon Fernandez</t>
  </si>
  <si>
    <t>Pucusana, Salaverry, Marcona, Callao</t>
  </si>
  <si>
    <t>Viudo</t>
  </si>
  <si>
    <t>Primaria</t>
  </si>
  <si>
    <t>Mantenimiento</t>
  </si>
  <si>
    <t>1 hijo: armador</t>
  </si>
  <si>
    <t>MI JHOMA</t>
  </si>
  <si>
    <t>CO-06461-BM</t>
  </si>
  <si>
    <t>MI JHOMA II</t>
  </si>
  <si>
    <t>CO-19588-BM</t>
  </si>
  <si>
    <t>320-360</t>
  </si>
  <si>
    <t>Septiembre-Marzo</t>
  </si>
  <si>
    <t>Esteras y manta, con palmeras. Usa 20 trampas, en 4 filas de 5. Dimensiones de trampa 3x2 metros</t>
  </si>
  <si>
    <t>Esteras y manta, con palmeras. Usa 15-20 trampas, en 4 filas de 5. Dimensiones de trampa 3x2 metros</t>
  </si>
  <si>
    <t>30</t>
  </si>
  <si>
    <t>300-450</t>
  </si>
  <si>
    <t>42</t>
  </si>
  <si>
    <t>Andres Jesus Alberto Caycho Carrillo</t>
  </si>
  <si>
    <t>Superior Universitario</t>
  </si>
  <si>
    <t>Integración comunitaria</t>
  </si>
  <si>
    <t>por el machismo</t>
  </si>
  <si>
    <t>aun hay muchos pescadores machistas</t>
  </si>
  <si>
    <t>Cerco</t>
  </si>
  <si>
    <t>25-35</t>
  </si>
  <si>
    <t>2000-4000</t>
  </si>
  <si>
    <t>8-20</t>
  </si>
  <si>
    <t>300-1000</t>
  </si>
  <si>
    <t>4000</t>
  </si>
  <si>
    <t>Noviembre-Marzo</t>
  </si>
  <si>
    <t>5-10</t>
  </si>
  <si>
    <t>5-20</t>
  </si>
  <si>
    <t>5-15</t>
  </si>
  <si>
    <t>961 830 866</t>
  </si>
  <si>
    <t>03325844</t>
  </si>
  <si>
    <t>Segundo Luis Morales Huertas "cochecho"</t>
  </si>
  <si>
    <t>Asociación de Armadores de Lanchas</t>
  </si>
  <si>
    <t>Mototaxi</t>
  </si>
  <si>
    <t>CO-65907-BM</t>
  </si>
  <si>
    <t>MAR DE LOS ANGELES</t>
  </si>
  <si>
    <t>300-400</t>
  </si>
  <si>
    <t>si, caballa, tamborin</t>
  </si>
  <si>
    <t>malla 4.5 x 9250 m; con llevador (winche)</t>
  </si>
  <si>
    <t>17-18</t>
  </si>
  <si>
    <t>15</t>
  </si>
  <si>
    <t>300-500</t>
  </si>
  <si>
    <t>8000-9000</t>
  </si>
  <si>
    <t>1.5</t>
  </si>
  <si>
    <t>si, pota</t>
  </si>
  <si>
    <t>Perico, Tollo</t>
  </si>
  <si>
    <t>Enero-Diciembre; Noviembre-Marzo</t>
  </si>
  <si>
    <t>Linea madre: 12000 m. #anzuelos: 2500. 1 anzuelo/linea. Calibre: Tollo 2, Perico 5-6</t>
  </si>
  <si>
    <t>8-10</t>
  </si>
  <si>
    <t>16</t>
  </si>
  <si>
    <t>1000-3000</t>
  </si>
  <si>
    <t>2-4</t>
  </si>
  <si>
    <t>Septiembre-Febrero</t>
  </si>
  <si>
    <t>Esteras y manta, con palmeras. Usa 18-20 trampas, en 3 filas de 6. Dimensiones de trampa 1.5x2 metros</t>
  </si>
  <si>
    <t>20-30</t>
  </si>
  <si>
    <t>75-300</t>
  </si>
  <si>
    <t>25-70</t>
  </si>
  <si>
    <t>12-24</t>
  </si>
  <si>
    <t>945 516 722</t>
  </si>
  <si>
    <t>07897247</t>
  </si>
  <si>
    <t>Juan De Dios Alvarez Garcia</t>
  </si>
  <si>
    <t>2 (de costa ambas)</t>
  </si>
  <si>
    <t>TITAN I</t>
  </si>
  <si>
    <t>CO-52539-BM</t>
  </si>
  <si>
    <t>TITAN II</t>
  </si>
  <si>
    <t>CO-52540-BM</t>
  </si>
  <si>
    <t>20-50</t>
  </si>
  <si>
    <t>Diciembre-Marzo</t>
  </si>
  <si>
    <t>con llevador (winche)</t>
  </si>
  <si>
    <t>1.5-3</t>
  </si>
  <si>
    <t>10-14</t>
  </si>
  <si>
    <t>Tollo</t>
  </si>
  <si>
    <t>300</t>
  </si>
  <si>
    <t>6000-8000</t>
  </si>
  <si>
    <t>2-7</t>
  </si>
  <si>
    <t>07386158</t>
  </si>
  <si>
    <t>Maria Antonieta Yzarnotegui Moreno</t>
  </si>
  <si>
    <t>F</t>
  </si>
  <si>
    <t>1 hijo: dueño</t>
  </si>
  <si>
    <t>1 (de costa)</t>
  </si>
  <si>
    <t>VICENZO</t>
  </si>
  <si>
    <t>CO-56337-BM</t>
  </si>
  <si>
    <t>340-360</t>
  </si>
  <si>
    <t>20-55</t>
  </si>
  <si>
    <t>Febrero-Mayo</t>
  </si>
  <si>
    <t>sin winche; superficial</t>
  </si>
  <si>
    <t>3-7</t>
  </si>
  <si>
    <t>2-8</t>
  </si>
  <si>
    <t>400-4000</t>
  </si>
  <si>
    <t>100-1000</t>
  </si>
  <si>
    <t>Esteras y manta, con zargazo.</t>
  </si>
  <si>
    <t>16-45</t>
  </si>
  <si>
    <t>945 489 966</t>
  </si>
  <si>
    <t>Erick Santacruz</t>
  </si>
  <si>
    <t>Chilca</t>
  </si>
  <si>
    <t>Negocio</t>
  </si>
  <si>
    <t>16-55</t>
  </si>
  <si>
    <t>24-36</t>
  </si>
  <si>
    <t>7-9</t>
  </si>
  <si>
    <t>2-3 viajes/mes</t>
  </si>
  <si>
    <t>4-11</t>
  </si>
  <si>
    <t>15000-20000</t>
  </si>
  <si>
    <t>07895056</t>
  </si>
  <si>
    <t>Jose Luis Sanchez Cardenas</t>
  </si>
  <si>
    <t>Tripulación</t>
  </si>
  <si>
    <t>#paños: 7, cocada: 4 pulgadas, malla 4.5 x 100 m</t>
  </si>
  <si>
    <t>12-18</t>
  </si>
  <si>
    <t>5000-6000</t>
  </si>
  <si>
    <t>3.5-4</t>
  </si>
  <si>
    <t>Esteras y manta con palmeras y manguera. Usa 12 trampas, en 4 filas de 3. Dimension de tampa 2x2.9 m</t>
  </si>
  <si>
    <t>Esteras y manta con palmeras. Usa 12 trampas, en 6 filas de 2. Dimension de tampa 1.5x3 m</t>
  </si>
  <si>
    <t>Esteras con palmeras, a veces zargazo. Usa 18 trampas, en 6 filas de 3. Dimension de tampa 3x2 m</t>
  </si>
  <si>
    <t>Esteras y manta, con palmeras. Usa 15-16 trampas. Dimensiones de trampa 1.5x2.5 metros</t>
  </si>
  <si>
    <t>45-60</t>
  </si>
  <si>
    <t>150-300</t>
  </si>
  <si>
    <t>976 118 007</t>
  </si>
  <si>
    <t>KD-PUCUSANA-034</t>
  </si>
  <si>
    <t>KD-PUCUSANA-035</t>
  </si>
  <si>
    <t>KD-PUCUSANA-036</t>
  </si>
  <si>
    <t>KD-PUCUSANA-037</t>
  </si>
  <si>
    <t>KD-PUCUSANA-038</t>
  </si>
  <si>
    <t>KD-PUCUSANA-039</t>
  </si>
  <si>
    <t>KD-PUCUSANA-040</t>
  </si>
  <si>
    <t>KD-PUCUSANA-041</t>
  </si>
  <si>
    <t>Hilder Yangua Lloclla</t>
  </si>
  <si>
    <t>2 (solo 1 opera)</t>
  </si>
  <si>
    <t>IO-21998-BM</t>
  </si>
  <si>
    <t>MILAGRO DE JESUS II</t>
  </si>
  <si>
    <t>si, caballa</t>
  </si>
  <si>
    <t>Abril-Octubre</t>
  </si>
  <si>
    <t>Linea madre: 18 millas. #anzuelos: 1000. 1 anzuelo/linea. Calibre: 3</t>
  </si>
  <si>
    <t>26</t>
  </si>
  <si>
    <t>14</t>
  </si>
  <si>
    <t>4000-12000</t>
  </si>
  <si>
    <t>982 088 280</t>
  </si>
  <si>
    <t>07897817</t>
  </si>
  <si>
    <t>Roberto Augusto Chumpitaz Flores</t>
  </si>
  <si>
    <t>Promotora de educación</t>
  </si>
  <si>
    <t>CO-37583-BM</t>
  </si>
  <si>
    <t>TORNADO</t>
  </si>
  <si>
    <t>Enero-Febrero</t>
  </si>
  <si>
    <t>#paños: 20, cocada: 6 pulgadas, malla 6 x 75 m</t>
  </si>
  <si>
    <t>1.2-2.5</t>
  </si>
  <si>
    <t>Noviembre-Diciembre</t>
  </si>
  <si>
    <t>Linea madre: 1500 m. #anzuelos:1000. 1 anzuelo/linea. Calibre: 2</t>
  </si>
  <si>
    <t>3-5</t>
  </si>
  <si>
    <t>6-10</t>
  </si>
  <si>
    <t xml:space="preserve"> </t>
  </si>
  <si>
    <t>02737661</t>
  </si>
  <si>
    <t>Marcos Eugenio Santisteban Sandoval</t>
  </si>
  <si>
    <t>Pesca de altura es peligrosa, vientos fuertes</t>
  </si>
  <si>
    <t>JIRETH I</t>
  </si>
  <si>
    <t>PS-26309-BM</t>
  </si>
  <si>
    <t>12-14</t>
  </si>
  <si>
    <t>#paños: 6-7, cocada: 4 pulgadas, malla 9 x 105 m</t>
  </si>
  <si>
    <t>2000-5000</t>
  </si>
  <si>
    <t>Mayo-Julio</t>
  </si>
  <si>
    <t>6-9</t>
  </si>
  <si>
    <t>6000-7000</t>
  </si>
  <si>
    <t>Carlos Alexander Florian Peña</t>
  </si>
  <si>
    <t>Pucusana, Callao, etc</t>
  </si>
  <si>
    <t>Cocinera</t>
  </si>
  <si>
    <t>25-30</t>
  </si>
  <si>
    <t>si, pota, barrilete</t>
  </si>
  <si>
    <t>Diciembre-Enero</t>
  </si>
  <si>
    <t>6-8</t>
  </si>
  <si>
    <t>5-7</t>
  </si>
  <si>
    <t>Linea madre: 8000 metros. #anzuelos: 1000. 1 anzuelo/linea. Calibre: 3</t>
  </si>
  <si>
    <t>200-400</t>
  </si>
  <si>
    <t>Septiembre-Noviembre</t>
  </si>
  <si>
    <t>Esteras y manta, con palmeras. Usa 3 trampas.</t>
  </si>
  <si>
    <t>100-200</t>
  </si>
  <si>
    <t>Frank Ericson Bravo Tapia</t>
  </si>
  <si>
    <t>140-160</t>
  </si>
  <si>
    <t>Junio-Julio</t>
  </si>
  <si>
    <t>#paños: 10, cocada: 3.5-4 pulgadas</t>
  </si>
  <si>
    <t>800-1400</t>
  </si>
  <si>
    <t>Diciembre-Febrero</t>
  </si>
  <si>
    <t>#anzuelos:1200. 1 anzuelo/linea. Calibre: 3</t>
  </si>
  <si>
    <t>10-11</t>
  </si>
  <si>
    <t>800-1000</t>
  </si>
  <si>
    <t>933 040 270</t>
  </si>
  <si>
    <t>William Junior Machare Farfan</t>
  </si>
  <si>
    <t>Pucusana, Atico, La Planchada</t>
  </si>
  <si>
    <t>No tiene</t>
  </si>
  <si>
    <t>Profesional Independiente</t>
  </si>
  <si>
    <t>CO-20058-BM</t>
  </si>
  <si>
    <t>MIKELA</t>
  </si>
  <si>
    <t>250-280</t>
  </si>
  <si>
    <t>28-41</t>
  </si>
  <si>
    <t>Esteras y manta, con palmeras o manguera. Usa 18 trampas, en 3 filas de 6. Dimensiones de trampa 3.2x3 metros</t>
  </si>
  <si>
    <t>120-150</t>
  </si>
  <si>
    <t>800-2000</t>
  </si>
  <si>
    <t>35</t>
  </si>
  <si>
    <t>907 458 484</t>
  </si>
  <si>
    <t>07897867</t>
  </si>
  <si>
    <t>Genaro Angulo Guerra</t>
  </si>
  <si>
    <t>Pucusana, Pisco</t>
  </si>
  <si>
    <t>Compra y venta de pesca</t>
  </si>
  <si>
    <t>1 hijo: patrón y dueño</t>
  </si>
  <si>
    <t>MI SEBASTIAN</t>
  </si>
  <si>
    <t>CO-41020-BM</t>
  </si>
  <si>
    <t>180-360</t>
  </si>
  <si>
    <t>25-50</t>
  </si>
  <si>
    <t>45-65</t>
  </si>
  <si>
    <t>#paños: 10, cocada: 4 pulgadas, malla 4.5 x 120 m</t>
  </si>
  <si>
    <t>6-30</t>
  </si>
  <si>
    <t>#paños: 20, cocada: 6 pulgadas, malla 4.5 x 120 m</t>
  </si>
  <si>
    <t>9-18</t>
  </si>
  <si>
    <t>Zona: Ova (70-80 millas fuera de Marcona y La Planchada); Bonito (60 millas fuera); Pota (60-200 millas fuera de Callao a Pucusana). Precio (kg) de ova con ojo: 5-10 soles. Pescador cree que ova con ojo es destinada a la sierra del Peru o a Bolivia. Hace 2 años, la ova costaba S/.50 por kg. Temperatura necesaria para Perico: 20-22 C. Comenta que SISESAT no es necesario, es caro y el pago no es mensual; si se malogra, deben regresar. Pucusana necesita un desembarcadero, ya que es el punto de arribo preferido por muchos embarcadores ya que el precio es mas alto aqui, y hay mas seguridad y tranquilidad que en callao.</t>
  </si>
  <si>
    <t>Zona: Ova (150-200 millas fuera de Marcona y La Planchada); Bonito (60-200 millas fuera de Pisco, Pucusana y Huacho); Perico (150 millas fuera de Paita,, Pucusana, Pisco, Ancon, Huacho, Ilo). Precio (kg) de ova con ojo: 3 soles. Para la huevera, las trampas se colocan y la embarcacion queda a la deriva. El zargazo dura 2 faenas de uso, se malogra rapido; la palmera dura 2 meses (llevan reemplazos). Si la trampa se queda 5 a 6 dias, la huevera desarrolla ojo y ya no sirve.</t>
  </si>
  <si>
    <t xml:space="preserve">Zona: Ova (40 millas fuera de Marcona); Bonito (20-100 millas fuera de Marcona, Callao, Pisco); Perico (150 millas fuera de Marcona). Ova con ojo: no se compra. </t>
  </si>
  <si>
    <t xml:space="preserve">Zona: Bonito (15 millas fuera de Pachacamac y Pucusana); Pota (50-170 millas fuera de Paita a Pucusana). Opina que los costos de los pescadores para participar en la pesca exploratoria deben ser cubiertos por IMARPE. El SISESAT debe tener contratos mas cortos (el minimo es de 6 meses) porque cuando quedan varados (por ejemplo, por veda) se gastan esos meses de contrato pero ellos no estan generando dinero. Sobre la ova, la ova del Peru es mas rica en nutrientes, por lo que se vende mas caro. </t>
  </si>
  <si>
    <t>Zona: Pota (20-150 millas fuera de Marcona y La Planchada). La pesca de la pota la realizan todo el dia, parando talvez 1 hora de vez en cuando para descansar, pero tomando turnos para que alguien siempre este atento a la muestra (1 linea siempre queda en el agua). El comprador minorista de la pota le llaman "chinchano" que compran la pota chancada para el mercado local. Sobre la ova, el sabe que las hembras liberan sus huevos debajo de la estera, y los machos su esperma por encima de la estera. La estera queda como espoonja.</t>
  </si>
  <si>
    <t>Zona: Ova (40 millas fuera de Marcona); Bonito (40 millas fuera de Pisco y Chancay); Pota (40 millas fuera de Pisco y Chancay). Ova con ojo no se vende. La manguera es mas economica a largo plazo. La trampa se coloca al ras del agua.</t>
  </si>
  <si>
    <t>Zona: Ova (100-120 millas fuera de Atico, Pisco, Marcona, Bayovar). Precio (kg) de ova con ojo: 5 soles. 70 a 80 kg de 1000 a 2000 kg del total, son ovas con ojo. Palmera puede costar S/.12 c/u, llevan 250. Antes, salian a la ova por 2 a 3 semanas, pero desde hace 2 años salen mminimo 1 mes, para que sea 1 solo gasto. Es posible hacer estos viajes largos para la ova porque al recoger la ova, la salan y la dejan al sol por 1 a 2 horas. Esto hace que se reduzca el tamano y que dure mas tiempo el producto. Una vez en muelle, se echa la ova en una tina por 1 a 2 hr y vuelve a la normalidad. La estera y la manta van al nivel del agua, y luego de 15 a 20 cm va la palmera.</t>
  </si>
  <si>
    <t>Zona: Bonito (50-60 millas fuera de Pucusana); Perico (120 millas fuera de Lima a Pucusana). Se dedica mas a la integracion comunitaria en temas marinos, enseñando a niños</t>
  </si>
  <si>
    <t>Zona: Tollo (150-170 millas fuera de Ilo, La Planchada, Pisco); Ova (20 millas fuera de Ilo a Huacho); Perico (400 millas fuera de Pucusana). Sobre la ova, de Sep-Nov la trampa se deja 3 dias, y de Nov-Feb por 2 dias. Muy colaborador</t>
  </si>
  <si>
    <t xml:space="preserve">Zona: Tollo (120-150 millas fuera de Pisco a Callao); Bonito (60-80 millas fuera de Pisco a Callao). </t>
  </si>
  <si>
    <t>Zona:Bonito (20-70 millas fuera de Marcona); Ova (150 millas fuera de Marcona). Una vez humedecida la trampa, ya no se puede volver a usar. Algunos peces voladores mueren despues de liberar sus gametos. La trampa se coloca al ras del agua, la embarcacion va al garete (a la deriva). Muy colaboradora</t>
  </si>
  <si>
    <t xml:space="preserve">Zona: Pota (30-200 millas fuera de Marcona a Pisco). </t>
  </si>
  <si>
    <t>Zona: Tollo azul (100-400 millas fuera de Marcona)</t>
  </si>
  <si>
    <t>Zona: Tollo (70-80 millas fuera de Pisco); Perico (100 millas fuera de Pucusana, Pisco, Ancon). Para el espinel, recorren la linea por completo revisando, y al segundo recorrido levantan toda la linea (total 10 horas)</t>
  </si>
  <si>
    <t xml:space="preserve">Zona: Bonito (70-80 millas fuera de Callao a Pisco); Pota (70-80 millas fuera de Callao, Pucusana, Pisco). </t>
  </si>
  <si>
    <t>Zona: Perico (80-100 millas fuera de Pucusana); Ovas (100 millas fuera de Marcona). Las trampas se colocan, en orden de abajo hacia arriba: palmera, estera, manta.</t>
  </si>
  <si>
    <t xml:space="preserve">Zona: Bonito (50 millas fuera de Pucusana); Perico (80-120 millas fuera de Marcona, Ilo). </t>
  </si>
  <si>
    <t>Zona: Ova (70-80 millas fuera de Atico, La Planchada). Ova con ojo no se vende.</t>
  </si>
  <si>
    <t xml:space="preserve">Zona: Bonito (10-100 millas fuera de Chimbote a Callao); Perico (100-180 millas fuera de Ancon, Pisco). </t>
  </si>
  <si>
    <t>Pedro Miguel Baldiño Pisconte</t>
  </si>
  <si>
    <t>JESUS RIVALDO</t>
  </si>
  <si>
    <t>CO-35916-BM</t>
  </si>
  <si>
    <t>20-60</t>
  </si>
  <si>
    <t>Octubre-Febrero</t>
  </si>
  <si>
    <t>#paños: 8, cocada: 4 pulgadas, malla 4.5 x 4.5 m</t>
  </si>
  <si>
    <t>6-12</t>
  </si>
  <si>
    <t>48</t>
  </si>
  <si>
    <t>1-13</t>
  </si>
  <si>
    <t>Zona: Bonito (40-50 millas fuera de Pisco); Pota (40-50 millas fuera de Pisco). Comenta molestia en que los pescadores solo conocen el precio del comprador de pota, pero no conocen el precio de la empresa</t>
  </si>
  <si>
    <t>936 219 115</t>
  </si>
  <si>
    <t>07895444</t>
  </si>
  <si>
    <t>Luis Benito Castillo Yataco</t>
  </si>
  <si>
    <t>Pucusana, Pisco, Callao, Atico, La Planchada</t>
  </si>
  <si>
    <t>KELLY II</t>
  </si>
  <si>
    <t>CO-22405-BM</t>
  </si>
  <si>
    <t>8-15</t>
  </si>
  <si>
    <t>2000-3000</t>
  </si>
  <si>
    <t>10000-15000</t>
  </si>
  <si>
    <t>Zona: Pota (40-80 millas fuera de Pisco e Ilo). Suelen pescar la pota 6 a 8 hr en la noche</t>
  </si>
  <si>
    <t>931 998 662</t>
  </si>
  <si>
    <t>200-300</t>
  </si>
  <si>
    <t>04641260</t>
  </si>
  <si>
    <t>Jose Carlos Carrera Astete</t>
  </si>
  <si>
    <t xml:space="preserve">si </t>
  </si>
  <si>
    <t>Asociación de Pescadores Armaderos de Pucusana</t>
  </si>
  <si>
    <t>tendria dificultad en rendir fisicamente como un hombre</t>
  </si>
  <si>
    <t>MICHAEL JORDAN 3</t>
  </si>
  <si>
    <t>MO-57592-BM</t>
  </si>
  <si>
    <t>1200-1500</t>
  </si>
  <si>
    <t>4-22</t>
  </si>
  <si>
    <t>1-4 viajes/mes</t>
  </si>
  <si>
    <t>12-48</t>
  </si>
  <si>
    <t>12000-20000</t>
  </si>
  <si>
    <t>2.3</t>
  </si>
  <si>
    <t>Linea madre: 26000 m. #anzuelos:2200. 1 anzuelo/linea. Calibre: 5</t>
  </si>
  <si>
    <t>20</t>
  </si>
  <si>
    <t>100-1500</t>
  </si>
  <si>
    <t>8000-1000</t>
  </si>
  <si>
    <t>5-6</t>
  </si>
  <si>
    <t>80-300</t>
  </si>
  <si>
    <t>3.3-3.5</t>
  </si>
  <si>
    <t xml:space="preserve">Zona: Pota (200 millas fuera de Tumbes a Tacna); Perico (200-250 millas fuera de Ilo a Piura); Tollo (150-200 millas fuera de Ilo a Piura). </t>
  </si>
  <si>
    <t>999 001 359</t>
  </si>
  <si>
    <t>Ignacio Luis Alfredo Noa Chambi</t>
  </si>
  <si>
    <t>La fuerza fisica natural no es la misma; en huevera si es mas posible</t>
  </si>
  <si>
    <t>PS-57411-BM</t>
  </si>
  <si>
    <t>RODRIGO Y ALVARO</t>
  </si>
  <si>
    <t>140-200</t>
  </si>
  <si>
    <t>Peruana y Extranjera</t>
  </si>
  <si>
    <t>17-55</t>
  </si>
  <si>
    <t>1000-7000</t>
  </si>
  <si>
    <t>1.5-6</t>
  </si>
  <si>
    <t>Zona: Pota (30-200 millas fuera de Pucusana).</t>
  </si>
  <si>
    <t>967 898 473</t>
  </si>
  <si>
    <t>Mollendo</t>
  </si>
  <si>
    <t>Wilson Requejo Cueva</t>
  </si>
  <si>
    <t xml:space="preserve">MICHAELL JORDAN 1 </t>
  </si>
  <si>
    <t>MO-60112-BM</t>
  </si>
  <si>
    <t>22-30</t>
  </si>
  <si>
    <t>Linea madre: 29600 metros. #anzuelos: 900. 1 anzuelo/linea. Calibre: 3</t>
  </si>
  <si>
    <t>18-25</t>
  </si>
  <si>
    <t>600-700</t>
  </si>
  <si>
    <t>8000-10000</t>
  </si>
  <si>
    <t>6-7</t>
  </si>
  <si>
    <t>Linea madre: 29600 metros. #anzuelos: 900. 1 anzuelo/linea. Calibre: 5</t>
  </si>
  <si>
    <t>Zona: Tollo (400 millas fuera de Ilo); Perico (500-600 millas fuera de Pucusana).</t>
  </si>
  <si>
    <t>953 084 203</t>
  </si>
  <si>
    <t>Carlos Ancajima Martinez</t>
  </si>
  <si>
    <t>Limpia pejerrey</t>
  </si>
  <si>
    <t>RUTH</t>
  </si>
  <si>
    <t>Linea madre: 18500 metros. #anzuelos: 2000. 1 anzuelo/linea. Calibre: 5</t>
  </si>
  <si>
    <t>700-1000</t>
  </si>
  <si>
    <t>8-9</t>
  </si>
  <si>
    <t>Octubre-Diciembre</t>
  </si>
  <si>
    <t>Esteras y manta, con palmeras. Usa 40 trampas, en 4 filas de 10. Dimensiones de trampa 2.5x1.5 metros</t>
  </si>
  <si>
    <t>Zona: Perico (250 millas fuera de Huacho y Mataran); Ova (250 millas fuera de Huacho hacia el sur). Tira sus trampas de 10 en 10. Ova con ojo no se vende.</t>
  </si>
  <si>
    <t>50-100</t>
  </si>
  <si>
    <t>Olger Jeefer Panta Silupu</t>
  </si>
  <si>
    <t>Pucusana, Ilo, Callao, Salaverry</t>
  </si>
  <si>
    <t>La fuerza fisica natural no es la misma; la habilidad es la misma</t>
  </si>
  <si>
    <t>IO-29620-BM</t>
  </si>
  <si>
    <t>400-800</t>
  </si>
  <si>
    <t>300-4000</t>
  </si>
  <si>
    <t>5000-12000</t>
  </si>
  <si>
    <t>40-60</t>
  </si>
  <si>
    <t>5000-14000</t>
  </si>
  <si>
    <t>6-20</t>
  </si>
  <si>
    <t>Zona: Perico (90-200 millas fuera de Pucusana hasta Chile); Tollo (500 millas fuera de Pucusana hasta Chile). El espinel del tollo usa un alambre en vez de linea, para sujetar el anzuelo.</t>
  </si>
  <si>
    <t>932 329 924</t>
  </si>
  <si>
    <t>Linea madre: 22500 metros. #anzuelos: 2500. 1 anzuelo/linea. Calibre: 5</t>
  </si>
  <si>
    <t>Linea madre: 13500 metros. #anzuelos: 2000. 1 anzuelo/linea. Calibre: 4</t>
  </si>
  <si>
    <t>Luis Alberto Avila Bravo</t>
  </si>
  <si>
    <t>Pucusana, Marcona, Callao, Ancón</t>
  </si>
  <si>
    <t>25-55</t>
  </si>
  <si>
    <t>#paños: 16, cocada: 4 pulgadas, malla 4.5 x 90 m</t>
  </si>
  <si>
    <t>1-7</t>
  </si>
  <si>
    <t>40-500</t>
  </si>
  <si>
    <t>1.2-4</t>
  </si>
  <si>
    <t>Junio-Agosto</t>
  </si>
  <si>
    <t>4-15</t>
  </si>
  <si>
    <t>4000-10000</t>
  </si>
  <si>
    <t>1-20</t>
  </si>
  <si>
    <t>Zona: Bonito (50-170 millas fuera de Marcona); Pota (50-100 millas fuera de Marcona).</t>
  </si>
  <si>
    <t>Oswer Ivan Dominguez Rondoy</t>
  </si>
  <si>
    <t>Pucusana, Callao</t>
  </si>
  <si>
    <t>CO-45544-CM</t>
  </si>
  <si>
    <t>1200-1400</t>
  </si>
  <si>
    <t>Noviembre-Abril</t>
  </si>
  <si>
    <t>Linea madre: 15000 metros. #anzuelos: 2500. 1 anzuelo/linea. Calibre: 5</t>
  </si>
  <si>
    <t>9-15</t>
  </si>
  <si>
    <t>500-2000</t>
  </si>
  <si>
    <t>4000-20000</t>
  </si>
  <si>
    <t>10000-25000</t>
  </si>
  <si>
    <t>500-1500</t>
  </si>
  <si>
    <t>1.2-3</t>
  </si>
  <si>
    <t>Zona: Perico (700-200 millas fuera de Paita a Ilo); Pota (80-250 millas fuera de Pucusana a Ilo).</t>
  </si>
  <si>
    <t>954 191 597</t>
  </si>
  <si>
    <t>09526224</t>
  </si>
  <si>
    <t>Augusto Rodolfo Llanos Luyo</t>
  </si>
  <si>
    <t>Pucusana, Marcona, Callao, Atico, Salaverry</t>
  </si>
  <si>
    <t>CARLOS JOEL</t>
  </si>
  <si>
    <t>30-50</t>
  </si>
  <si>
    <t>si, volador</t>
  </si>
  <si>
    <t>#paños: 10, cocada: 4 pulgadas, malla 6.75 x 4.5 m</t>
  </si>
  <si>
    <t>500-700</t>
  </si>
  <si>
    <t>Linea madre: 13500 metros. #anzuelos: 1500. 1 anzuelo/linea. Calibre: 2</t>
  </si>
  <si>
    <t>1.5-4</t>
  </si>
  <si>
    <t>Zona: Perico (80-100 millas fuera de Callao y Marcona); Bonito (40-50 millas fuera de Pucusana).</t>
  </si>
  <si>
    <t>917 809 029</t>
  </si>
  <si>
    <t>Yossimar Gonzales Peña</t>
  </si>
  <si>
    <t>RIHANNA AILANI</t>
  </si>
  <si>
    <t>PS-18637-BM</t>
  </si>
  <si>
    <t>#paños: 8-9, cocada: 4-4.5 pulgadas, malla 5 x 150 m</t>
  </si>
  <si>
    <t>1.5-2.1</t>
  </si>
  <si>
    <t>Esteras y manta, con palmeras. Usa 12 trampas. Dimensiones de trampa 2x3 metros</t>
  </si>
  <si>
    <t>20-150</t>
  </si>
  <si>
    <t>932 015 678</t>
  </si>
  <si>
    <t>Zona: Bonito (20-60 millas fuera de Pucusana); Ova (100 millas fuera de Marcona). Precio (kg) de ova con ojo: 5-10 soles. Por dia, botan al agua 3 trampas. La palmera dura 1 mes, la manguera dura 1 año; el zargazo dura 3 usos. Recientemente estan usando la maya anaranjada (que se usa en pistas), dura 1 solo uso.</t>
  </si>
  <si>
    <t>Nestor Tanta Valdez</t>
  </si>
  <si>
    <t>Paita</t>
  </si>
  <si>
    <t>Chimbote, Paita, Pucusana</t>
  </si>
  <si>
    <t>Asociación Gremio de Pescadores de Paita</t>
  </si>
  <si>
    <t>Pero capitania no les permite</t>
  </si>
  <si>
    <t>PT-66150-CM</t>
  </si>
  <si>
    <t>BROTHER</t>
  </si>
  <si>
    <t>PT-64567-CM</t>
  </si>
  <si>
    <t>CORAZÓN DE JESÚS</t>
  </si>
  <si>
    <t>8-24</t>
  </si>
  <si>
    <t>500</t>
  </si>
  <si>
    <t>5-8</t>
  </si>
  <si>
    <t>3-20</t>
  </si>
  <si>
    <t>200-10000</t>
  </si>
  <si>
    <t>1.2-1.3</t>
  </si>
  <si>
    <t>Acopiador (en el sur) y Directo a empresa (en el norte)</t>
  </si>
  <si>
    <t>Zona: Pota (60-200 millas fuera de Pisco, Pucusana y Paita). Comenta incomodidad porque los pescadores artesanales no tienen la posibilidad de negociar el precio de la pota con las empresas</t>
  </si>
  <si>
    <t>944 448 148</t>
  </si>
  <si>
    <t>Talara</t>
  </si>
  <si>
    <t>Percy Omar Rumiche Morales</t>
  </si>
  <si>
    <t>LUIS FERNANDO</t>
  </si>
  <si>
    <t>80-140</t>
  </si>
  <si>
    <t>3-4 viajes/mes</t>
  </si>
  <si>
    <t>36-48</t>
  </si>
  <si>
    <t>1-3</t>
  </si>
  <si>
    <t>Zona: Pota (30-80 millas fuera de Ilo).</t>
  </si>
  <si>
    <t>981 248 489</t>
  </si>
  <si>
    <t>Miguel Angel Caceres Vargas</t>
  </si>
  <si>
    <t>Pucusana, Marcona, Pisco, Callao, Cerro Azul</t>
  </si>
  <si>
    <t>La fuerza fisica natural no es la misma (talvez en el bonito si puedan participar)</t>
  </si>
  <si>
    <t>TA-61458-BM</t>
  </si>
  <si>
    <t>ALISON Y THAIS</t>
  </si>
  <si>
    <t>100</t>
  </si>
  <si>
    <t>2-6</t>
  </si>
  <si>
    <t>1-2.5</t>
  </si>
  <si>
    <t>#paños: 8, cocada: 3.25 y 4 pulgadas, malla 12 x 60 m</t>
  </si>
  <si>
    <t>100-3000</t>
  </si>
  <si>
    <t>1500-5000</t>
  </si>
  <si>
    <t>36</t>
  </si>
  <si>
    <t>3 viajes/mes</t>
  </si>
  <si>
    <t>2000-6000</t>
  </si>
  <si>
    <t>1.5-9</t>
  </si>
  <si>
    <t>Zona: Bonito (5-100 millas fuera de Chancay y Marcona);  Pota (5-100 millas fuera de Chancay y Marcona).</t>
  </si>
  <si>
    <t>972 258 161</t>
  </si>
  <si>
    <t>09526945</t>
  </si>
  <si>
    <t>Dionisio Americo Aguayo Huayhua</t>
  </si>
  <si>
    <t>1 hijo: tripulante; 1 hijo: patrón</t>
  </si>
  <si>
    <t>Pesca de altura es peligrosa</t>
  </si>
  <si>
    <t>BRIGITH II</t>
  </si>
  <si>
    <t>CO-37597-BM</t>
  </si>
  <si>
    <t>BRIGITH III</t>
  </si>
  <si>
    <t>CO-32594-BM</t>
  </si>
  <si>
    <t>100-120</t>
  </si>
  <si>
    <t>#paños: 7, cocada: 4 pulgadas, malla 7.5 x 180 m</t>
  </si>
  <si>
    <t>Zona: Bonito (15-80 millas fuera de Pucusana).</t>
  </si>
  <si>
    <t>Alexander Javier Moreno Villalta</t>
  </si>
  <si>
    <t>MO-40881-BM</t>
  </si>
  <si>
    <t>ABIGAIL BRIGIT</t>
  </si>
  <si>
    <t>70-80</t>
  </si>
  <si>
    <t>2-15</t>
  </si>
  <si>
    <t>50-500</t>
  </si>
  <si>
    <t>1.5-10</t>
  </si>
  <si>
    <t>Zona: Pota (30-100 millas fuera de Pucusana).</t>
  </si>
  <si>
    <t>932 681 144</t>
  </si>
  <si>
    <t>008852165</t>
  </si>
  <si>
    <t>Kevin Alfredo Colmenares Marrero</t>
  </si>
  <si>
    <t>CO-57959-BM</t>
  </si>
  <si>
    <t>ANDREA</t>
  </si>
  <si>
    <t>100-240</t>
  </si>
  <si>
    <t>23-30</t>
  </si>
  <si>
    <t>18-20</t>
  </si>
  <si>
    <t>#paños: 6-8, cocada: 3 pulgadas, malla 180 x 90-120 m</t>
  </si>
  <si>
    <t>1.4</t>
  </si>
  <si>
    <t>1-2 viajes/mes</t>
  </si>
  <si>
    <t>10-20</t>
  </si>
  <si>
    <t>0.50-12</t>
  </si>
  <si>
    <t>972 708 709</t>
  </si>
  <si>
    <t>Zona: Pota (30-100 millas fuera de Pisco y Ancon); Bonito (40-50 millas fuera de Pisco y Pucusana). Solo les esta permitido ingresar 5 toneladas de pota por viaje. Pescador era Venezolano, el numero de DNI es el carnet de identidad.</t>
  </si>
  <si>
    <t>Jose Jacinto Sosa Chunga</t>
  </si>
  <si>
    <t>Piura</t>
  </si>
  <si>
    <t>Cristel Cordero</t>
  </si>
  <si>
    <t>Sindicato de Pesca de Calamar Gigante y Pesca de Altura del puerto de Paita</t>
  </si>
  <si>
    <t>TA-57554-BM</t>
  </si>
  <si>
    <t>SIEMPRE VIRGINIA</t>
  </si>
  <si>
    <t>Linea madre: 18000 metros. #anzuelos: 2000. 1 anzuelo/linea. Calibre: 5</t>
  </si>
  <si>
    <t>2000-15000</t>
  </si>
  <si>
    <t>7-14</t>
  </si>
  <si>
    <t>Zona: Pota (200-300 millas fuera de Pisco y Callao); Perico (200-300 millas fuera de Pisco y Callao).</t>
  </si>
  <si>
    <t>950 958 792</t>
  </si>
  <si>
    <t>Olber Marcial Chanchari Manihuari</t>
  </si>
  <si>
    <t>Pucusana, Ilo, etc</t>
  </si>
  <si>
    <t>La fuerza fisica natural no es la misma; es peligroso</t>
  </si>
  <si>
    <t>IO-23102-BM</t>
  </si>
  <si>
    <t>MARIJUAN</t>
  </si>
  <si>
    <t>700</t>
  </si>
  <si>
    <t>Linea madre: 12000-14000 metros. #anzuelos: 1000-1200. 1 anzuelo/linea. Calibre: 3</t>
  </si>
  <si>
    <t>150-3000</t>
  </si>
  <si>
    <t>Zona: Tollo (300-400 millas fuera de Ilo y mas al sur).</t>
  </si>
  <si>
    <t>986 365 269</t>
  </si>
  <si>
    <t>Marlo Juniors Chiquin Ramos</t>
  </si>
  <si>
    <t>es mejor para la mujer trabajar en tierra</t>
  </si>
  <si>
    <t>PS-33223-BM</t>
  </si>
  <si>
    <t>SIGLO XX</t>
  </si>
  <si>
    <t>170-200</t>
  </si>
  <si>
    <t>Palangre</t>
  </si>
  <si>
    <t>29-50</t>
  </si>
  <si>
    <t>Linea madre: 1200 metros. #anzuelos: 500-700. 3 anzuelo/linea. Calibre: 5</t>
  </si>
  <si>
    <t>8-12</t>
  </si>
  <si>
    <t>600-1000</t>
  </si>
  <si>
    <t>3000-8000</t>
  </si>
  <si>
    <t>10 (espinel), 8 (red)</t>
  </si>
  <si>
    <t>9-12</t>
  </si>
  <si>
    <t>#paños: 10-12, cocada: 4 pulgadas, malla 10.5 x 180 m</t>
  </si>
  <si>
    <t>5000-8000</t>
  </si>
  <si>
    <t>200-1500</t>
  </si>
  <si>
    <t>Zona: Bonito (20-50 millas fuera de Pucusana, Ancon y Pisco); Pota (50-100 millas fuera de Pucusana); Perico (100-150 millas fuera de Marcona). El palangre tiene 3 anzuelos cada 7-8 brazadas (10.5-12 m), cada 24 brazadas (36 m) hay una boya</t>
  </si>
  <si>
    <t>992 479 370</t>
  </si>
  <si>
    <t>07897604</t>
  </si>
  <si>
    <t>Jose Manuel Estrada</t>
  </si>
  <si>
    <t>Limpieza</t>
  </si>
  <si>
    <t>LUIS MANUEL</t>
  </si>
  <si>
    <t>18-68</t>
  </si>
  <si>
    <t>si, caballa, barrilete, pota</t>
  </si>
  <si>
    <t>Linea madre: 240 metros. #anzuelos: 2000-2500. 1 anzuelo/linea. Calibre: 6</t>
  </si>
  <si>
    <t>Otro (dueño: mayorista y armador)</t>
  </si>
  <si>
    <t>#paños: 30, cocada: 18 pulgadas, malla 45 x 450 m</t>
  </si>
  <si>
    <t>8-11</t>
  </si>
  <si>
    <t>En red de fondo puede caer tiburon azul, diamante, pez vela y lobos marinos. No sale a la huevera porque le aburre</t>
  </si>
  <si>
    <t>995 951 601</t>
  </si>
  <si>
    <t>923 593 622</t>
  </si>
  <si>
    <t>961 285 950</t>
  </si>
  <si>
    <t>990 478 848</t>
  </si>
  <si>
    <t>933 957 502</t>
  </si>
  <si>
    <t>959 963 258</t>
  </si>
  <si>
    <t>940 906 288</t>
  </si>
  <si>
    <t>941 451 916</t>
  </si>
  <si>
    <t>PUCUSANA</t>
  </si>
  <si>
    <t>MARCONA</t>
  </si>
  <si>
    <t>Espada</t>
  </si>
  <si>
    <t>MIN</t>
  </si>
  <si>
    <t>MAX</t>
  </si>
  <si>
    <t>1</t>
  </si>
  <si>
    <t>DURACION</t>
  </si>
  <si>
    <t>45</t>
  </si>
  <si>
    <t>17</t>
  </si>
  <si>
    <t>18</t>
  </si>
  <si>
    <t>DIAS</t>
  </si>
  <si>
    <t>FRECUENCIA</t>
  </si>
  <si>
    <t>4-6</t>
  </si>
  <si>
    <t>13-15</t>
  </si>
  <si>
    <t>16-18</t>
  </si>
  <si>
    <t>19-22</t>
  </si>
  <si>
    <t>DIAS PERICO</t>
  </si>
  <si>
    <t>11-15</t>
  </si>
  <si>
    <t>16-20</t>
  </si>
  <si>
    <t>21-25</t>
  </si>
  <si>
    <t>26-30</t>
  </si>
  <si>
    <t>Pez espada</t>
  </si>
  <si>
    <t>Edad</t>
  </si>
  <si>
    <t>Pisco</t>
  </si>
  <si>
    <t>San Andrés</t>
  </si>
  <si>
    <t>Marcona</t>
  </si>
  <si>
    <t>Lomas</t>
  </si>
  <si>
    <t>CC-MARCONA-001</t>
  </si>
  <si>
    <t>Teodolfo Flores Rivero</t>
  </si>
  <si>
    <t>APROMAR</t>
  </si>
  <si>
    <t>Albañil</t>
  </si>
  <si>
    <t>APURIMEÑO</t>
  </si>
  <si>
    <t>SN-29452-BM</t>
  </si>
  <si>
    <t>120-130</t>
  </si>
  <si>
    <t>28-51</t>
  </si>
  <si>
    <t>Usa esteras con manta y sargazo/palmeras</t>
  </si>
  <si>
    <t>10-100</t>
  </si>
  <si>
    <t>350-1300</t>
  </si>
  <si>
    <t>22-38</t>
  </si>
  <si>
    <t>El zargazo proviene de la colecta de algas en orilla y las palmeras de las chacras de Nasca.</t>
  </si>
  <si>
    <t>CC-MARCONA-002</t>
  </si>
  <si>
    <t>Pelagio Huamán Bacas</t>
  </si>
  <si>
    <t>1 hijo (recolección de algas)</t>
  </si>
  <si>
    <t>ALEX II</t>
  </si>
  <si>
    <t>35-61</t>
  </si>
  <si>
    <t>Usa esteras y sargazo</t>
  </si>
  <si>
    <t>28-35</t>
  </si>
  <si>
    <t>50-300</t>
  </si>
  <si>
    <t>24-40</t>
  </si>
  <si>
    <t>Puertos que también salen a la ova: Chala, Atico, Planchada, Chimbote, Callao, Pucusana.</t>
  </si>
  <si>
    <t>CC-MARCONA-003</t>
  </si>
  <si>
    <t>Julio Orihuela Cavero</t>
  </si>
  <si>
    <t>Negocio (alquiler de habitaciones) y Ama de casa</t>
  </si>
  <si>
    <t>GENO Y KATTY II</t>
  </si>
  <si>
    <t>SN-59858-BM</t>
  </si>
  <si>
    <t>136-204</t>
  </si>
  <si>
    <t>Peruana y Venezolana</t>
  </si>
  <si>
    <t>48-96</t>
  </si>
  <si>
    <t>30-300</t>
  </si>
  <si>
    <t>15-45</t>
  </si>
  <si>
    <t>Temperatura óptima para el pez volador: 17 °C. Ova con ojo (S/.10), el acopiador le descuenta. Indica que los pescadores quieren vender directo a la empresa.</t>
  </si>
  <si>
    <t>CC-MARCONA-004</t>
  </si>
  <si>
    <t>Washington Espinoza Bolas</t>
  </si>
  <si>
    <t>Prefiere que las mujeres participen en el procesamiento, considerando que Marcona no tiene plantas de procesamiento, pero falta oportunidades para su capacitación.</t>
  </si>
  <si>
    <t>YOSELYN I</t>
  </si>
  <si>
    <t>YOSELIN II</t>
  </si>
  <si>
    <t>50-200</t>
  </si>
  <si>
    <t>18-50</t>
  </si>
  <si>
    <t>10-500</t>
  </si>
  <si>
    <t>Pinta potera</t>
  </si>
  <si>
    <t>Todo el año (cuota)</t>
  </si>
  <si>
    <t>3/mes</t>
  </si>
  <si>
    <t>pota, pez volador</t>
  </si>
  <si>
    <t xml:space="preserve"> Linea madre: 500 m, 40-60 lineas, #anzuelos/linea: 1, Calibre: 2 </t>
  </si>
  <si>
    <t>5-14</t>
  </si>
  <si>
    <r>
      <t>Ovas con ojo lo descartan al mar ya que su valor económico es mínimo. Para la pesca de pota son 4 pescaodres y cada uno trabaja con una muestra potera</t>
    </r>
    <r>
      <rPr>
        <b/>
        <sz val="11"/>
        <color theme="1"/>
        <rFont val="Aptos Narrow"/>
        <family val="2"/>
        <scheme val="minor"/>
      </rPr>
      <t>. Pesca de perico con espinel es complementaria a la pesca del pez volador.</t>
    </r>
  </si>
  <si>
    <t>CC-MARCONA-005</t>
  </si>
  <si>
    <t>Javier Alarcón</t>
  </si>
  <si>
    <t>Asociación de Armadores y Maricultores de la Bahía de San Juan de Marcona</t>
  </si>
  <si>
    <t>1 hijo (tripulante)</t>
  </si>
  <si>
    <t>No, por la fuerza.</t>
  </si>
  <si>
    <t xml:space="preserve">YAIR Y ARAEL </t>
  </si>
  <si>
    <t>100-150</t>
  </si>
  <si>
    <t>40-200</t>
  </si>
  <si>
    <t>30-38</t>
  </si>
  <si>
    <t>Diciembre-Abril</t>
  </si>
  <si>
    <t>Ovas con ojo lo descartan al mar ya que su valor económico es mínimo.</t>
  </si>
  <si>
    <t>CC-MARCONA-006</t>
  </si>
  <si>
    <t>José Rojas Heredia</t>
  </si>
  <si>
    <t>Marcona, El Chaco</t>
  </si>
  <si>
    <t>ASMASPEMAR</t>
  </si>
  <si>
    <t>El trabajo en la pesca es muy fuerte (fuerza física). Muy pocos hombres se embarcan con su pareja.</t>
  </si>
  <si>
    <t>ALEX STEFANO</t>
  </si>
  <si>
    <t>160-200</t>
  </si>
  <si>
    <t>20-65</t>
  </si>
  <si>
    <t>Usa esteras (6:3x2 m) con manta 8: 6x2 m) y sargazo/palmeras</t>
  </si>
  <si>
    <t>1-300</t>
  </si>
  <si>
    <t>350-700</t>
  </si>
  <si>
    <t>22-45</t>
  </si>
  <si>
    <t>#paños: 5, cocada: 5 pulgadas, malla 5x37 metros</t>
  </si>
  <si>
    <t>0.5-2</t>
  </si>
  <si>
    <t>3-6</t>
  </si>
  <si>
    <t>10-200</t>
  </si>
  <si>
    <t>2-3/mes</t>
  </si>
  <si>
    <t>Menciona que algunas embarcaciones vienen de Piura (conocidas comunmente como Vikingos - embarcaciones grandes de 10 a 20 TN) vienen a pescar ovas, perico, pota y se llevan todo. Pesca de ovas: Noviembre y Diciembre (horas efectivas de pesca por lance: 3 días), Enero (horas efectivas de pesca por lance: 2 días). La ova con ojo lo descarta al mar ya que el acopiador no lo compra.</t>
  </si>
  <si>
    <t>CC-MARCONA-007</t>
  </si>
  <si>
    <t>Juan Camacho Calderón</t>
  </si>
  <si>
    <t>APROBENTO</t>
  </si>
  <si>
    <t>Cuando no es familiar, se le paga un poco menos)</t>
  </si>
  <si>
    <t>DIOS ES AMOR I</t>
  </si>
  <si>
    <t>SN-41836-BM</t>
  </si>
  <si>
    <t>64-70</t>
  </si>
  <si>
    <t>Usa manta (16: 6x2 m) y palmeras</t>
  </si>
  <si>
    <t>30-100</t>
  </si>
  <si>
    <t>380-700</t>
  </si>
  <si>
    <t>23-42</t>
  </si>
  <si>
    <t>18-19°C el pez volador desova (se recoge a los 3 días) y 21°C pez volador desova (se recoge a los 2 días).  Ova con ojo (S/.12).</t>
  </si>
  <si>
    <t>CC-MARCONA-008</t>
  </si>
  <si>
    <t>Marcos Rodriguez Mendoza</t>
  </si>
  <si>
    <t>Marcona, Lomas, Atico</t>
  </si>
  <si>
    <t>Mototaxista, Auxiliar en mina</t>
  </si>
  <si>
    <t>JESUCRISTO ES REY DE REYES</t>
  </si>
  <si>
    <t>PS-33229-BM</t>
  </si>
  <si>
    <t>Usa esteras con manta y sargazo/palmeras/manguera</t>
  </si>
  <si>
    <t>32-45</t>
  </si>
  <si>
    <t>Espinel superficial</t>
  </si>
  <si>
    <t>Perico, Tiburón azul</t>
  </si>
  <si>
    <t>Pota, Pez Volador</t>
  </si>
  <si>
    <t>Linea madre: 40 m,  #anzuelos/linea: 1, # anzuelos: 100-300, Calibre: NS</t>
  </si>
  <si>
    <t>Perico (3.50-5), Azul (3)</t>
  </si>
  <si>
    <t>Ova con ojo se lo guarda para él, como consumo en semana santa y ciertos platos), también  lo descarta al mar para que continúe su ciclo.</t>
  </si>
  <si>
    <t>CC-MARCONA-009</t>
  </si>
  <si>
    <t>José Ángel Bautista Gamboa</t>
  </si>
  <si>
    <t>El pago se negocia, normalmente se le paga un poco menos a las mujeres</t>
  </si>
  <si>
    <t>EL RETORNO DEL NAIHS</t>
  </si>
  <si>
    <t>SN-59909-BM</t>
  </si>
  <si>
    <t>102-204</t>
  </si>
  <si>
    <t>25-38</t>
  </si>
  <si>
    <t>Usa esteras y manguera</t>
  </si>
  <si>
    <t>24-96</t>
  </si>
  <si>
    <t>4/mes</t>
  </si>
  <si>
    <t>Cortina de superficie</t>
  </si>
  <si>
    <t>#paños: 6, cocada: 4 y 3 3/4 pulgadas, malla 13x60 m</t>
  </si>
  <si>
    <t>0.5-1</t>
  </si>
  <si>
    <t>2-10</t>
  </si>
  <si>
    <t>Comerciante</t>
  </si>
  <si>
    <t>Ova pasa de ser una coloración blanquesina a negruzca (ova oscura ya no te compran).</t>
  </si>
  <si>
    <t>CC-MARCONA-010</t>
  </si>
  <si>
    <t>Juan Jesús Carlos Medina</t>
  </si>
  <si>
    <t>ASOCIACION DE BOLICHITOS ARTESANALES DE SAN JUAN DE MARCONA JUAN MARCIAL VALENZUELA</t>
  </si>
  <si>
    <t>Presidente de OSPA</t>
  </si>
  <si>
    <t>Costurera</t>
  </si>
  <si>
    <t>AKIMSHU</t>
  </si>
  <si>
    <t>PT-51299-BM</t>
  </si>
  <si>
    <t>25-64</t>
  </si>
  <si>
    <t>Cerco no mecanizado, cocada: 1.5 pulgadas</t>
  </si>
  <si>
    <t>12000</t>
  </si>
  <si>
    <t>Delfin</t>
  </si>
  <si>
    <t>Linea madre: 4000 m, # anzuelos:1000, Calibre: 6</t>
  </si>
  <si>
    <t>7-15</t>
  </si>
  <si>
    <t>300-600</t>
  </si>
  <si>
    <t>Trampa ovas</t>
  </si>
  <si>
    <t>Usa mantas (15: 3x4 m) y palmera/manguera</t>
  </si>
  <si>
    <t>7-40</t>
  </si>
  <si>
    <t>37-45</t>
  </si>
  <si>
    <t xml:space="preserve">Ova con ojo: S/8 a S/10 kg. Tiran su red cuando pasan delfines y el que cae capturado se filetea y se coloca como carnada. </t>
  </si>
  <si>
    <t>CC-MARCONA-011</t>
  </si>
  <si>
    <t>Grimaldo Flores Rivero</t>
  </si>
  <si>
    <t>APURIMEÑO II</t>
  </si>
  <si>
    <t>PS-17805-BM</t>
  </si>
  <si>
    <t>204-238</t>
  </si>
  <si>
    <t>35-45</t>
  </si>
  <si>
    <t xml:space="preserve">Usa mantas (18: 3x1.5 m) y palmeras </t>
  </si>
  <si>
    <t>10-30</t>
  </si>
  <si>
    <t>100-300</t>
  </si>
  <si>
    <t>25-45</t>
  </si>
  <si>
    <t>Acopiadora de ovas Ana Candia. Precio de ova con ojo: S/. 4. Usan 10 a 12 sacos de sal para salar las ovas (1 saco = 50 kg). Temporada 2024-2025 no salió a la ova. La pota ha aparecido cerca a la costa (frente a Marcona y Lomas) ahora en 2025, no se veía eso desde el 2012.</t>
  </si>
  <si>
    <t>CC-MARCONA-012</t>
  </si>
  <si>
    <t>Oscar Polanco García</t>
  </si>
  <si>
    <t>Pequeño comercio (tienda en casa) y Armadora</t>
  </si>
  <si>
    <t>Pareja (armadora)</t>
  </si>
  <si>
    <t>Mujeres reciben un poco menos ya que no manejan la embarcación y no cargan mucho peso.</t>
  </si>
  <si>
    <t>VIRGEN DE LAS NIEVES V</t>
  </si>
  <si>
    <t>TA-61627-BM</t>
  </si>
  <si>
    <t>VIRGEN DE LAS NIEVES IV</t>
  </si>
  <si>
    <t>SN-57548-BM</t>
  </si>
  <si>
    <t>35-75</t>
  </si>
  <si>
    <t>20-300</t>
  </si>
  <si>
    <t>1200-2000</t>
  </si>
  <si>
    <t>Octubre-Junio</t>
  </si>
  <si>
    <t>18-27</t>
  </si>
  <si>
    <t>#paños: 10, cocada: 3 3/4 y 4 pulgadas, malla 15x60 metros</t>
  </si>
  <si>
    <t>500-3000</t>
  </si>
  <si>
    <t>Jurel, Caballa, Bonito</t>
  </si>
  <si>
    <t>3-5/mes</t>
  </si>
  <si>
    <t>Cerco mecanizado, 1.5 pulgadas</t>
  </si>
  <si>
    <t>100-6000</t>
  </si>
  <si>
    <t>1000-10000</t>
  </si>
  <si>
    <t>Jurel: 1-5, Caballa: 0.80-3, Bonito: 1.5-4</t>
  </si>
  <si>
    <t>De 10 a 30 kg le sale ova con ojo del total de su faena (S/. 10). En la altura, todos los pescadores cuentan con GPS. Algunos armadores si llevan a su pareja a la altura.</t>
  </si>
  <si>
    <t>CC-MARCONA-013</t>
  </si>
  <si>
    <t>Florentino Bustrón Mamani</t>
  </si>
  <si>
    <t xml:space="preserve">ASOCIACION DE MARICULTORES DE LOS HIJOS DE JACOB DE ESPECIES HIDROBIOLOGICAS – MARCONA </t>
  </si>
  <si>
    <t>1 hijo (buzo embarcado)</t>
  </si>
  <si>
    <t>DIANA Y LUCERO IV</t>
  </si>
  <si>
    <t>PS-30225-BM</t>
  </si>
  <si>
    <t>22-64</t>
  </si>
  <si>
    <t>Usa esteras (15) con manta (15) y sargazo/palmeras</t>
  </si>
  <si>
    <t>Pota, Caballa, Pez volador</t>
  </si>
  <si>
    <t>Linea madre: 1000 m,  #anzuelos/linea: 1, # anzuelos: 80, Calibre: 6 o 7</t>
  </si>
  <si>
    <t>En su OSPA son solo 4 integrantes que tienen embarcación para la altura. Precio de ova con ojo: S/.5.</t>
  </si>
  <si>
    <t>CC-MARCONA-014</t>
  </si>
  <si>
    <t>Jimmy Soriano Ormeño</t>
  </si>
  <si>
    <t>JIMMY ANDERSON</t>
  </si>
  <si>
    <t>SN-03566-BM</t>
  </si>
  <si>
    <t xml:space="preserve">Usa mantas (15) y zargazo/palmeras </t>
  </si>
  <si>
    <t>Linea madre: 1280 m, 700 lineas #anzuelos/linea: 1, Calibre: 4 o 5</t>
  </si>
  <si>
    <t>1500-3000</t>
  </si>
  <si>
    <t xml:space="preserve">Considera que cada vez hay menos pesca ya que hay mucha presión pesquera industrial anchovetera. Asimismo, indica que ova con ojo no tiene valor económico por lo que a bordo prefiere regresarlo al mar. </t>
  </si>
  <si>
    <t>CC-MARCONA-016</t>
  </si>
  <si>
    <t>Julio Loayza Aliaga</t>
  </si>
  <si>
    <t>Armadora, Ama de casa</t>
  </si>
  <si>
    <t>Pareja (armadora), 1 hijo (tripulante)</t>
  </si>
  <si>
    <t>CALET Y MATEO</t>
  </si>
  <si>
    <t>SN-34964-BM</t>
  </si>
  <si>
    <t>Usa esteras (10) con manta (15) y sargazo/palmeras</t>
  </si>
  <si>
    <t>28-30</t>
  </si>
  <si>
    <t>25-32</t>
  </si>
  <si>
    <t>No le alcanza el dinero para comprar radiobaliza, aunque considera que si es de suma importancia para la seguridad de los tripulantes. Para la primera salida para la ova se gasta un total de 15,000 soles (8,000 combustible + 3500 mantas y esteras + 600 zargazo + 2400 palmeras + 700 otras herramientas como palos y cabos)</t>
  </si>
  <si>
    <t>CC-MARCONA-017</t>
  </si>
  <si>
    <t>Abel Quispe Calle</t>
  </si>
  <si>
    <t>Marcona, San Andrés, El Chaco</t>
  </si>
  <si>
    <t>APROBENTO, ASOCIACION DE MARICULTORES SAN PEDRO DEL PUERTO SAN JUAN DE MARCONA</t>
  </si>
  <si>
    <t>Lava pescado, Ama de casa</t>
  </si>
  <si>
    <t>Pareja (lava pescado), 1 hijo (tripulante)</t>
  </si>
  <si>
    <t>MIS TRES AMORES</t>
  </si>
  <si>
    <t>SN-03568-BM</t>
  </si>
  <si>
    <t>34-50</t>
  </si>
  <si>
    <t>Usa esteras con manta y sargazo</t>
  </si>
  <si>
    <t>22-35</t>
  </si>
  <si>
    <t>1.5-3.5</t>
  </si>
  <si>
    <t xml:space="preserve">Indica que de 1 a 2 horas demora desde tirar la muestra, esperar que la pota se enganche y calar la muestra. Trabaja con acopiador Efrain y Debora, tanto para ova y pota, y este no le paga por ova con ojo. </t>
  </si>
  <si>
    <t>CC-MARCONA-018</t>
  </si>
  <si>
    <t>Maximo Napa Castro</t>
  </si>
  <si>
    <t>Marcona, Pisco</t>
  </si>
  <si>
    <t>2 hijos (patrón)</t>
  </si>
  <si>
    <t>GATÓN II</t>
  </si>
  <si>
    <t>700-2000</t>
  </si>
  <si>
    <t xml:space="preserve">Acopiador: Ana Candia. Fue un pescador sobreviviente de altura ya que suele salir solo a la ova de pez volador y en la ultima temporada 2024-2025 su motor se malogró en altamar y se perdió por 3 meses, apareciendo por las Islas Galápagos rescatado desde un helicóptero. </t>
  </si>
  <si>
    <t>CC-MARCONA-019</t>
  </si>
  <si>
    <t>Roberto Mendoza Soriano</t>
  </si>
  <si>
    <t>Sin Instrucción</t>
  </si>
  <si>
    <t xml:space="preserve">VALENTINA Y MIGUEL I </t>
  </si>
  <si>
    <t>CE-55929-BM</t>
  </si>
  <si>
    <t>Usa mantas (20: 2x3.5 m) y  sargazo/palmeras</t>
  </si>
  <si>
    <t>1000-1400</t>
  </si>
  <si>
    <t>pota</t>
  </si>
  <si>
    <t>Linea madre: 500 m,  #anzuelos/linea: 1, # anzuelos: 100, Calibre: NS</t>
  </si>
  <si>
    <t>Menciona que hay muchas discrepancias entre los pescadores de altura relacionado a su pesca. El zargazo húmedo lo compran a S/. 500 la 1/2 TN a los que barretean zargazo con un fierro (barreta). En Marcona casi no hay acopiadores de perico. Menciona que el bonito con boliche va hasta las 50 mn.</t>
  </si>
  <si>
    <t>CC-MARCONA-020</t>
  </si>
  <si>
    <t>Juan Asuero Humaní</t>
  </si>
  <si>
    <t>Comerciante de pescado</t>
  </si>
  <si>
    <t>Pareja (comerciante de pescado)</t>
  </si>
  <si>
    <t>Considera que está prohibido que las mujeres se embarquen</t>
  </si>
  <si>
    <t>RAYMUNDO</t>
  </si>
  <si>
    <t>TS-23279-BM</t>
  </si>
  <si>
    <t>30-64</t>
  </si>
  <si>
    <t>Usa esteras (10: 2.20 x 3 m) y sargazo</t>
  </si>
  <si>
    <t>#paños: 2, cocada: 3 3/4 pulgadas, malla 6x100 metros</t>
  </si>
  <si>
    <r>
      <rPr>
        <b/>
        <sz val="11"/>
        <color theme="1"/>
        <rFont val="Aptos Narrow"/>
        <family val="2"/>
        <scheme val="minor"/>
      </rPr>
      <t xml:space="preserve">Pesca bonito 8 meses al año aprox. (1 mes de veda y 2 meses de pesca), lleva redes boniteras cuando sale a la ova para aprovechar. </t>
    </r>
    <r>
      <rPr>
        <sz val="11"/>
        <color theme="1"/>
        <rFont val="Aptos Narrow"/>
        <family val="2"/>
        <scheme val="minor"/>
      </rPr>
      <t>Considera que la población de peces voladores se ha reducido, encontrándose más machos que hembras. Asimismo, el número de embarcaciones que van a la ova han aumentado. Recomienda que se cree una cuota de captura por embarcación para el volador.</t>
    </r>
  </si>
  <si>
    <t>CC-MARCONA-021</t>
  </si>
  <si>
    <t>Jorge Anchayhua</t>
  </si>
  <si>
    <t>Marcona, San Andrés, Pucusana</t>
  </si>
  <si>
    <t>MI SARITA</t>
  </si>
  <si>
    <t>PT-31218-BM</t>
  </si>
  <si>
    <t>Usa esteras (10: 2x3.5 m) con manta (10: 2x6 m) y sargazo/palmeras/mangueras</t>
  </si>
  <si>
    <t>400-1000</t>
  </si>
  <si>
    <t>20-35</t>
  </si>
  <si>
    <t>#paños: 10, cocada: 3.5 o 4 pulgadas, malla 16x30 metros</t>
  </si>
  <si>
    <t xml:space="preserve">Lleva redes boniteras cuando sale a la ova para aprovechar. </t>
  </si>
  <si>
    <t>FV-MARCONA-001</t>
  </si>
  <si>
    <t>Florinda Ventura</t>
  </si>
  <si>
    <t>Jorge Calvera Rojas</t>
  </si>
  <si>
    <t>Marcona, Chala, San Andrés</t>
  </si>
  <si>
    <t>VIRGENCITA DE CHAPI</t>
  </si>
  <si>
    <t>SN-52701-BM</t>
  </si>
  <si>
    <t>VIRGENCITA DE YAUCA</t>
  </si>
  <si>
    <t>600-800</t>
  </si>
  <si>
    <t>25-42</t>
  </si>
  <si>
    <t>2/mes</t>
  </si>
  <si>
    <t>Cortina superficie</t>
  </si>
  <si>
    <t>#paños: 7, cocada: 4 pulgadas, malla 10x82 m</t>
  </si>
  <si>
    <t>Aprovecha su salida a la ova para pescar perico con espinel de superficie y usa de carnada pez volador vivo.</t>
  </si>
  <si>
    <t>FV-MARCONA-002</t>
  </si>
  <si>
    <t>Walter De la Cruz Peña</t>
  </si>
  <si>
    <t xml:space="preserve">no </t>
  </si>
  <si>
    <t>A las mujeres no les gusta embarcarse a la altura</t>
  </si>
  <si>
    <t>MI PAPA NICO</t>
  </si>
  <si>
    <t>SN-55592-BM</t>
  </si>
  <si>
    <t>45-55</t>
  </si>
  <si>
    <t>Indica que en APROBENTO son 40 socios embarcados.</t>
  </si>
  <si>
    <t>FV-MARCONA-003</t>
  </si>
  <si>
    <t>Aldo Ramirez López</t>
  </si>
  <si>
    <t>03474634</t>
  </si>
  <si>
    <t>Varar botes</t>
  </si>
  <si>
    <t>LOS TIPIS</t>
  </si>
  <si>
    <t>SN-03572-BM</t>
  </si>
  <si>
    <t>#paños: 7, cocada: 4 pulgadas, malla 7x64 m</t>
  </si>
  <si>
    <t xml:space="preserve">Aprovecha su salida a la ova para pescar bonito con cortina de superficie. </t>
  </si>
  <si>
    <t>FV-MARCONA-004</t>
  </si>
  <si>
    <t>Pedro Roman Levano</t>
  </si>
  <si>
    <t>Acopiadora</t>
  </si>
  <si>
    <t>Pareja (acopiadora)</t>
  </si>
  <si>
    <t>PAPILON IV</t>
  </si>
  <si>
    <t>SN-29038-BM</t>
  </si>
  <si>
    <t>30-55</t>
  </si>
  <si>
    <t>Usa esteras con manta y sargazo/palmera</t>
  </si>
  <si>
    <t>Aprovecha su salida a la ova para pescar perico con espinel de superficie usa de carnada pez volador vivo, pero es solo para consumo a bordo.</t>
  </si>
  <si>
    <t>HM-MARCONA-001</t>
  </si>
  <si>
    <t>Heidy Mejia</t>
  </si>
  <si>
    <t>Alberto Palomino</t>
  </si>
  <si>
    <t>08009113</t>
  </si>
  <si>
    <t>Marcona, Pucusana, Atico, San Andres</t>
  </si>
  <si>
    <t>Mototaxista</t>
  </si>
  <si>
    <t>Fileteadora</t>
  </si>
  <si>
    <t>Pareja (fileteadora)</t>
  </si>
  <si>
    <t>Depende del trabajo (esfuerzo físico) que haga</t>
  </si>
  <si>
    <t>MI CHUELON</t>
  </si>
  <si>
    <t>160-240</t>
  </si>
  <si>
    <t>Febrero-Junio</t>
  </si>
  <si>
    <t>700 anzuelos</t>
  </si>
  <si>
    <t>HM-MARCONA-002</t>
  </si>
  <si>
    <t>Alex Tipamana Avendaño</t>
  </si>
  <si>
    <t>Pintor</t>
  </si>
  <si>
    <t>ANDERSON</t>
  </si>
  <si>
    <t>PS-01651-BM</t>
  </si>
  <si>
    <t>120-240</t>
  </si>
  <si>
    <t>3-4/mes</t>
  </si>
  <si>
    <t>Acopiador de ova: Ana Candia, acopiador de pota: Efrain</t>
  </si>
  <si>
    <t>HM-MARCONA-003</t>
  </si>
  <si>
    <t>Jorge Álvarez Ramirez</t>
  </si>
  <si>
    <t>Marcona, Chala</t>
  </si>
  <si>
    <t>DON GILBERTO I</t>
  </si>
  <si>
    <t>SN-20132-BM</t>
  </si>
  <si>
    <t>15-40</t>
  </si>
  <si>
    <t>#paños: 6, cocada: 4 pulgadas, malla 36x220 metros</t>
  </si>
  <si>
    <t>50-80</t>
  </si>
  <si>
    <t>0.50-3</t>
  </si>
  <si>
    <t>Acopiador de ova: Ana Candia y Efrain, acopiador de pota y bonito: Efrain</t>
  </si>
  <si>
    <t>HM-MARCONA-004</t>
  </si>
  <si>
    <t>Martin Velez Paz</t>
  </si>
  <si>
    <t>LOS NIKITAS</t>
  </si>
  <si>
    <t>PT-57021-BM</t>
  </si>
  <si>
    <t>15-25</t>
  </si>
  <si>
    <t>15-700</t>
  </si>
  <si>
    <t>Acopiador de ova: Ana Cesar Rocha, acopiador de pota: Efrain</t>
  </si>
  <si>
    <t>HM-MARCONA-005</t>
  </si>
  <si>
    <t>Luis Jimenez Lupe</t>
  </si>
  <si>
    <t>Marcona, Chala, San Andrés, Atico</t>
  </si>
  <si>
    <t xml:space="preserve">ASOCIACION DE BOLICHITOS ARTESANALES DE SAN JUAN DE MARCONA JUAN MARCIAL VALENZUELA </t>
  </si>
  <si>
    <t>FABIANO Y ESTEFANO I</t>
  </si>
  <si>
    <t>SN-53991-BM</t>
  </si>
  <si>
    <t>34-42</t>
  </si>
  <si>
    <t>30-56</t>
  </si>
  <si>
    <t>Bonito, Caballa, Jurel</t>
  </si>
  <si>
    <t>Cerco no mecanizado, cocada: 2.5 pulgadas</t>
  </si>
  <si>
    <t xml:space="preserve">Bonito y Caballa: S/. 2, Jurel: S/. 3 </t>
  </si>
  <si>
    <t>500-600</t>
  </si>
  <si>
    <t>HM-MARCONA-006</t>
  </si>
  <si>
    <t>Cristopher Lecarnaque Paiva</t>
  </si>
  <si>
    <t>Hacen menos trabajo (esfuerzo físico) que los hombres.</t>
  </si>
  <si>
    <t>CORAZON VALIENTE</t>
  </si>
  <si>
    <t>80-204</t>
  </si>
  <si>
    <t>Usa manta y sargazo/palmera</t>
  </si>
  <si>
    <t>30-42</t>
  </si>
  <si>
    <t>Enero-Mayo</t>
  </si>
  <si>
    <t>3000-4500</t>
  </si>
  <si>
    <t>1.5-5.5</t>
  </si>
  <si>
    <t># paños: 5, cocada: 4 pulgadas</t>
  </si>
  <si>
    <t>Acopiador de pota y bonito: Efrain</t>
  </si>
  <si>
    <t>HM-MARCONA-007</t>
  </si>
  <si>
    <t>Jorge Antezana Villegas</t>
  </si>
  <si>
    <t>Construcción civil</t>
  </si>
  <si>
    <t>No, por el machismo de la mujer en la pesca se le paga menos</t>
  </si>
  <si>
    <t>JAIR ARAEL</t>
  </si>
  <si>
    <t>128-192</t>
  </si>
  <si>
    <t>Cerco mecanizado, cocada: 4 pulgadas</t>
  </si>
  <si>
    <t>5000-7000</t>
  </si>
  <si>
    <t>Linea madre: 150 m, Calibre: 4</t>
  </si>
  <si>
    <t>Acopiador de ova: Ana Cesar Rocha, acopiador de bonito y perico: Efrain</t>
  </si>
  <si>
    <t>HM-MARCONA-008</t>
  </si>
  <si>
    <t>Mackensi Contreras Ramos</t>
  </si>
  <si>
    <t>Administradora</t>
  </si>
  <si>
    <t>TERESA</t>
  </si>
  <si>
    <t>SN-52598-BM</t>
  </si>
  <si>
    <t>Usa manta y sargazo/palmera/manguera</t>
  </si>
  <si>
    <t>23-25</t>
  </si>
  <si>
    <t>1.5-4.5</t>
  </si>
  <si>
    <t>Febrero-Julio</t>
  </si>
  <si>
    <t>#paños: 5, cocada: 4 pulgadas, malla 4x100 m</t>
  </si>
  <si>
    <t>Acopiador de ova: Ana Candia, acopiador de pota y bonito: Efrain</t>
  </si>
  <si>
    <t>NV-MARCONA-001</t>
  </si>
  <si>
    <t>Nicol Vásquez</t>
  </si>
  <si>
    <t>Edgar Polanco García</t>
  </si>
  <si>
    <t>VIRGEN DE LAS NIEVES III</t>
  </si>
  <si>
    <t>SN-52599-BM</t>
  </si>
  <si>
    <t>45-50</t>
  </si>
  <si>
    <t>24-72</t>
  </si>
  <si>
    <t>150-500</t>
  </si>
  <si>
    <t>32-35</t>
  </si>
  <si>
    <t>2000-3500</t>
  </si>
  <si>
    <t>#paños: 8, cocada: 4 pulgadas</t>
  </si>
  <si>
    <t>Armador de embarcacion de costa</t>
  </si>
  <si>
    <t>Decoración, Armador de embarcacion de costa</t>
  </si>
  <si>
    <t>Caballa</t>
  </si>
  <si>
    <t>Jurel</t>
  </si>
  <si>
    <t>El Chaco</t>
  </si>
  <si>
    <t>San Andrés, El Chaco</t>
  </si>
  <si>
    <t>CC-SAN ANDRES-001</t>
  </si>
  <si>
    <t>Juan de Dios Magan Arroyo</t>
  </si>
  <si>
    <t>San Andrés, Marcona, Chala, Lomas</t>
  </si>
  <si>
    <t>ASPADSA</t>
  </si>
  <si>
    <t>Mecánico</t>
  </si>
  <si>
    <t>Pequeño comercio (tienda en casa) y Ama de casa</t>
  </si>
  <si>
    <t>FISHERMAN II</t>
  </si>
  <si>
    <t>PS-17886-BM</t>
  </si>
  <si>
    <t>35-60</t>
  </si>
  <si>
    <t>Usa solo manta</t>
  </si>
  <si>
    <t>50-250</t>
  </si>
  <si>
    <t>32-44</t>
  </si>
  <si>
    <t>Linea madre: 3218 m,  #anzuelos/linea: 1, # anzuelos: 25-40, Calibre: 4</t>
  </si>
  <si>
    <t>Bacalao</t>
  </si>
  <si>
    <t>anchoveta, jurel, caballa, pota</t>
  </si>
  <si>
    <t>Cuota anual</t>
  </si>
  <si>
    <t>Linea madre: 27359 m, 2 lineas, #anzuelos/linea: 800-1000, Calibre: 4</t>
  </si>
  <si>
    <t>360-400</t>
  </si>
  <si>
    <t>2500-3000</t>
  </si>
  <si>
    <t xml:space="preserve">Trato con el armador </t>
  </si>
  <si>
    <t>Él es armador y patrón en la embarcación de ovas y perico. Precio (kg) de ova con ojo: 5-6 soles, representa el 1% de su pesca total. En la embarcación de bacalao es tripulante y se pesca a 1500 m de profundidad.Precio de bacalao es de 4000 soles la TN. Cambio climático provoca más vientos, cambios en las corrientes, y cambios bruscos de temperatura.</t>
  </si>
  <si>
    <t>CC-SAN ANDRES-002</t>
  </si>
  <si>
    <t>Anderson Jayo Villanueva</t>
  </si>
  <si>
    <t>AFREMARPA</t>
  </si>
  <si>
    <t>HEINZEN Y XIOMARA</t>
  </si>
  <si>
    <t>TA-60305-BM</t>
  </si>
  <si>
    <t>Usa esteras (6: 4x3m) con manta(6: 6x3m y sargazo/palmeras</t>
  </si>
  <si>
    <t>12-30</t>
  </si>
  <si>
    <t>#paños: 16, cocada: 4 pulgadas, malla 10x20 metros</t>
  </si>
  <si>
    <t>200-800</t>
  </si>
  <si>
    <t>400-1200</t>
  </si>
  <si>
    <t>3.30-12</t>
  </si>
  <si>
    <t>Su papá es el dueño de la embarcación. Pescador menciona que el boliche abarata el precio del bonito (bolicheros no respetan el pacto de cuota de bonito que tienen con los cortineros). Asimismo, pescador paga a acopiador una comisión de 2 soles por kg de ova. Él negocia con acopiador para que le cubra la gasolina y  esteras con palmeras. Ovas con ojo son devueltas al mar. 1 bidón de gasolina son 18 galones, 1 bidón está 280 a 300 soles y recorre aprox. 50 millas.</t>
  </si>
  <si>
    <t>CC-SAN ANDRES-003</t>
  </si>
  <si>
    <t>Santiago Martinez Ronceros</t>
  </si>
  <si>
    <t xml:space="preserve">ASOCIACION DE PESCADORES ARTESANALES Y EXTRACTORES DE MARISCOS ALMIRANTE MIGUEL GRAU SAN ANDRES </t>
  </si>
  <si>
    <t>Cocinero</t>
  </si>
  <si>
    <t>Profesora</t>
  </si>
  <si>
    <t>MARIA AUXILIADORA DE LOS CRISTIANOS</t>
  </si>
  <si>
    <t>PS-42470-BM</t>
  </si>
  <si>
    <t>24-59</t>
  </si>
  <si>
    <t>Usa solo manta (12: 3x2m) con sargazo/manguera</t>
  </si>
  <si>
    <t>12-19</t>
  </si>
  <si>
    <t>300-800</t>
  </si>
  <si>
    <t>550-1100</t>
  </si>
  <si>
    <t>26-44</t>
  </si>
  <si>
    <t>Palangre de fondo</t>
  </si>
  <si>
    <t>Tamboril, Jurel, Caballa</t>
  </si>
  <si>
    <t>250-500</t>
  </si>
  <si>
    <t>3000-7000</t>
  </si>
  <si>
    <t>Precio (kg) de ova con ojo: 9 soles.  Esta se vende en la sierra (Arequipa y Puno), plato típico: Caldito de Viernes. Menciona que a los pescadores Venezolanos les pagan menos. Bacalao lo pescan entre los 1800-2500 metros de profundidad.</t>
  </si>
  <si>
    <t>CC-SAN ANDRES-004</t>
  </si>
  <si>
    <t>Javier De la Cruz</t>
  </si>
  <si>
    <t>San Andrés, Lagunillas</t>
  </si>
  <si>
    <t>ASPAMACHIBSA</t>
  </si>
  <si>
    <t xml:space="preserve">Mujeres se encargan principalmente de ayudar a jalar, limpiar y cocinar en la embarcación; no realiza el trabajo pesado por lo que se le recibe un poco menos. </t>
  </si>
  <si>
    <t>JAIR Y AARON</t>
  </si>
  <si>
    <t>PS-29013-BM</t>
  </si>
  <si>
    <t>100-250</t>
  </si>
  <si>
    <t>150-10000</t>
  </si>
  <si>
    <t>#paños: 18, cocada: 4 pulgadas, malla 10x100 metros</t>
  </si>
  <si>
    <t>300-3000</t>
  </si>
  <si>
    <t>Precio (kg) de ova con ojo: 5 soles. Destino de la ova: no sabe.</t>
  </si>
  <si>
    <t>CC-SAN ANDRES-005</t>
  </si>
  <si>
    <t>Darío Aquije Galvez</t>
  </si>
  <si>
    <t>NAYELI VALERIA I</t>
  </si>
  <si>
    <t>PS-39761-BM</t>
  </si>
  <si>
    <t>28-42</t>
  </si>
  <si>
    <t>Usa esteras con manta y palmeras</t>
  </si>
  <si>
    <t>80-200</t>
  </si>
  <si>
    <t>500-800</t>
  </si>
  <si>
    <t>Precio (kg) de ova con ojo: 5 soles. Pescador previene para que no salga ova con ojo, esta representa menos del 1% del total de su pesca. Pescador vende al comerciante que paga mejor y este vende a la empresa.</t>
  </si>
  <si>
    <t>CC-SAN ANDRES-006</t>
  </si>
  <si>
    <t>Edy Carrizales Valenzuela</t>
  </si>
  <si>
    <t>San Andrés, Pucusana, Marcona</t>
  </si>
  <si>
    <t>YAYO</t>
  </si>
  <si>
    <t>PT-27127-BM</t>
  </si>
  <si>
    <t>120-250</t>
  </si>
  <si>
    <t>17-59</t>
  </si>
  <si>
    <t>40-48</t>
  </si>
  <si>
    <t>#paños: 5, cocada: 4 pulgadas, malla 15x150 metros</t>
  </si>
  <si>
    <t>125-2000</t>
  </si>
  <si>
    <t>Ova con ojo se descarta ya que no tiene valor económico.</t>
  </si>
  <si>
    <t>CC-SAN ANDRES-007</t>
  </si>
  <si>
    <t>Frank García Ríos</t>
  </si>
  <si>
    <t>San Andrés, Marcona</t>
  </si>
  <si>
    <t>Callao, Chimbote, Salaverry, Marcona, Lomas</t>
  </si>
  <si>
    <t>MAR Y CIELO</t>
  </si>
  <si>
    <t>Usa mantas y pameras/manguera</t>
  </si>
  <si>
    <t>Tiburones (azul, diamante, zorro)</t>
  </si>
  <si>
    <t>#paños: 30-35, cocada: 9 pulgadas, malla 22x110 metros</t>
  </si>
  <si>
    <t>Azul (1-3), Zorro (7-10) y Diamante (15-20)</t>
  </si>
  <si>
    <t>Cortina de fondo</t>
  </si>
  <si>
    <t>#paños: 30-40, cocada: 6 pulgadas, malla 16x64 metros</t>
  </si>
  <si>
    <t>12000-2000</t>
  </si>
  <si>
    <t>Directo a empresa</t>
  </si>
  <si>
    <t>CC-SAN ANDRES-008</t>
  </si>
  <si>
    <t>Felix Flores Anchante</t>
  </si>
  <si>
    <t>Técnico de mantenimiento en empresa industrial</t>
  </si>
  <si>
    <t>JESUS ES MI GUÍA</t>
  </si>
  <si>
    <t>PS-61764-BM</t>
  </si>
  <si>
    <t>26-52</t>
  </si>
  <si>
    <t>Usa esteras (3: 2x3 metros) con manta (2: 5x2 m) y manguera/zargazo</t>
  </si>
  <si>
    <t>60-300</t>
  </si>
  <si>
    <t>600-1200</t>
  </si>
  <si>
    <t>28-45</t>
  </si>
  <si>
    <t xml:space="preserve">S/. 15 a 19 precio de 1 galón de combustible. Acopiador no quiere comprar ova con ojo. 3 esteras (2x3 metros) con cabo/manguera/zargazo y 2 mantas (5x2 metros) con corcho o botellas plásticas, mantas van debajo de las esteras. Los extremos se refuerzan con palos de eucalipto. </t>
  </si>
  <si>
    <t>CC-SAN ANDRES-009</t>
  </si>
  <si>
    <t>Luis Cabezudo Diaz</t>
  </si>
  <si>
    <t>San Andrés, Marcona, Lomas</t>
  </si>
  <si>
    <t>No es apropiado, requiere mucha fuerza física y en altamar no hay privacidad</t>
  </si>
  <si>
    <t>STEFANNY Y SHEYLA</t>
  </si>
  <si>
    <t>PS-30630-BM</t>
  </si>
  <si>
    <t>190-200</t>
  </si>
  <si>
    <t>25-65</t>
  </si>
  <si>
    <t>50-150</t>
  </si>
  <si>
    <t>35-44</t>
  </si>
  <si>
    <t>#paños: 8, cocada: 4 pulgadas, malla 7x128 metros</t>
  </si>
  <si>
    <t>3-10</t>
  </si>
  <si>
    <t>440-1100</t>
  </si>
  <si>
    <t>Pesca de pota principalmente entre mayo a agosto, fuera de las 40 mn. Inidica que en altamar se pelean entre pescadores por el recurso. Precio de ova con ojo: S/.8 (1 kg del total de la faena de ova). Indica que desde hace 3 años la abundancia de ova de pez volador se ha reducido.</t>
  </si>
  <si>
    <t>CC-EL CHACO-001</t>
  </si>
  <si>
    <t>Walter Torres Escate</t>
  </si>
  <si>
    <t>El Chaco, Pucusana, Marcona</t>
  </si>
  <si>
    <t>ASPADSA, ASOCIACION DE PESCADORES,MARICULTORES Y ARMADORES ARTESANALES DEL CHACO - PARACAS</t>
  </si>
  <si>
    <t>La mujer no tiene mucha fuerza física para pescar y maniobrar la embarcación.</t>
  </si>
  <si>
    <t>PS-19707-BM, PS-52182-BM</t>
  </si>
  <si>
    <t xml:space="preserve">VIRGEN DE YAUCA </t>
  </si>
  <si>
    <t>PS-52182-BM</t>
  </si>
  <si>
    <t>Usa esteras con manta y manguera</t>
  </si>
  <si>
    <t>10-50</t>
  </si>
  <si>
    <t>350-650</t>
  </si>
  <si>
    <t>Ova con ojo se descarta ya que vale muy poco (S/. 5-7) Hace 3 años había más ova. Indica que palmera está muy caro, zargazo es dificil de conseguir (recogen las que flotan a la deriva en el mar o a veces le compran  a los recolectores de algas).</t>
  </si>
  <si>
    <t>VT-SAN ANDRES-001</t>
  </si>
  <si>
    <t>Valeria Torres</t>
  </si>
  <si>
    <t>San Andrés, Lagunillas, El Chaco, Laguna Grande</t>
  </si>
  <si>
    <t>AFREMARPA, ASPADSA</t>
  </si>
  <si>
    <t>Agricultura (en el norte)</t>
  </si>
  <si>
    <t>HERMANOS HUERTA I</t>
  </si>
  <si>
    <t>PS-29167-BM</t>
  </si>
  <si>
    <t>27-45</t>
  </si>
  <si>
    <t>Usa esteras (6-7: 2x3m) con manta(4:3x6m) y sargazo/palmeras/manguera</t>
  </si>
  <si>
    <t>500-1800</t>
  </si>
  <si>
    <t>800-1200</t>
  </si>
  <si>
    <t>28-38</t>
  </si>
  <si>
    <t>Cerco no mecanizado, cocada: 4 pulgadas</t>
  </si>
  <si>
    <t>VT-EL CHACO-001</t>
  </si>
  <si>
    <t>David Martinez Valladares</t>
  </si>
  <si>
    <t>ANTONY GIANCARLO I</t>
  </si>
  <si>
    <t>PS-13810-BM</t>
  </si>
  <si>
    <t>20-72</t>
  </si>
  <si>
    <t>40-45</t>
  </si>
  <si>
    <t>Precio de ova con ojo: S/.5.</t>
  </si>
  <si>
    <t>FV-SAN ANDRES-001</t>
  </si>
  <si>
    <t>Flor Ventura</t>
  </si>
  <si>
    <t>Jorge Anchante Chavez</t>
  </si>
  <si>
    <t>San Andrés, El Chaco, Marcona</t>
  </si>
  <si>
    <t>Comerciante de mariscos</t>
  </si>
  <si>
    <t>Pareja (armadora, comerciante de mariscos)</t>
  </si>
  <si>
    <t xml:space="preserve">MANUELA DEL PILAR </t>
  </si>
  <si>
    <t>PS-56758-BM</t>
  </si>
  <si>
    <t>119-136</t>
  </si>
  <si>
    <t>130-1800</t>
  </si>
  <si>
    <t>20-45</t>
  </si>
  <si>
    <t xml:space="preserve">Durante la faena de ova de pez volador el pescador aprovecha en pescar con cordel (tiburón y perico) y con pinta potera (pota) para su consumo. A veces puede traer a tierra (tiburón lo preserva con sal). Embarcación está a nombre de su esposa. </t>
  </si>
  <si>
    <t>CZ-SAN ANDRES-001</t>
  </si>
  <si>
    <t>Cesar Zamora</t>
  </si>
  <si>
    <t>Manuel Barrientos Valenzuela</t>
  </si>
  <si>
    <t>San Andrés, El Chaco, Marcona, Pucusana</t>
  </si>
  <si>
    <t xml:space="preserve">TRIPITA </t>
  </si>
  <si>
    <t>PS-23141-BM</t>
  </si>
  <si>
    <t>Usa esteras y sargazo/palmeras</t>
  </si>
  <si>
    <t>15-60</t>
  </si>
  <si>
    <t>pota, caballa</t>
  </si>
  <si>
    <t>Linea madre: 500 m, 250 lineas #anzuelos/linea: 1, Calibre: 4 o 5</t>
  </si>
  <si>
    <t>Hace 1 año no pesca.</t>
  </si>
  <si>
    <t>CC-SAN ANDRES-010</t>
  </si>
  <si>
    <t>Fabian Tibilmana</t>
  </si>
  <si>
    <t>Pisco, Marcona</t>
  </si>
  <si>
    <t>SN-02572-BM</t>
  </si>
  <si>
    <t>192-240</t>
  </si>
  <si>
    <t>16-70</t>
  </si>
  <si>
    <t>Usa esteras (6) con manta (15) y sargazo/palmeras/manguera</t>
  </si>
  <si>
    <t>18-35</t>
  </si>
  <si>
    <t xml:space="preserve">Pescador menciona que la ova con ojo es descartado por el acopiador. </t>
  </si>
  <si>
    <t>CC-SAN ANDRES-011</t>
  </si>
  <si>
    <t>Eloy García Pizarro</t>
  </si>
  <si>
    <t>Hay mucho viento en Pisco por lo que el oleaje es muy bravo y es peligroso para las mujeres</t>
  </si>
  <si>
    <t>BEATITA MELCHORITA</t>
  </si>
  <si>
    <t>PS-28871-BM</t>
  </si>
  <si>
    <t>128-160</t>
  </si>
  <si>
    <t>Usa esteras (10: 1.5x3m) con manta (20: 1.5x3m) y sargazo/palmeras/manguera</t>
  </si>
  <si>
    <t>3-8</t>
  </si>
  <si>
    <t>Gasta en la primera salida alrededor de S/.6000. Ova con ojo, el acopiador ya no le paga pero se lo queda. Él ha escuchado que lo secan y lo llevan  a la sierra para preparar un plato llamado cau-cau.</t>
  </si>
  <si>
    <t>CC-SAN ANDRES-012</t>
  </si>
  <si>
    <t>Luis Canelo Acasiete</t>
  </si>
  <si>
    <t>San Andrés, Quilca</t>
  </si>
  <si>
    <t>ASOCIACION DE PESCADORES ARTESANALES DE BOLICHITOS DE SAN ANDRES VICTOR PEÑA ORMEÑO</t>
  </si>
  <si>
    <t>Gerente de Servicio al Ciudadano de la Municipalidad de San Andrés</t>
  </si>
  <si>
    <t>Bahía de embarcaciones</t>
  </si>
  <si>
    <t>Pareja (bahía de embarcaciones)</t>
  </si>
  <si>
    <t>MARIQUITA II</t>
  </si>
  <si>
    <t>PS-29591-BM</t>
  </si>
  <si>
    <t>KIKI Y DELIA</t>
  </si>
  <si>
    <t>PS-00563-BM</t>
  </si>
  <si>
    <t>18-60</t>
  </si>
  <si>
    <t>Cerco mecanizado, cocada: 1 pulgada</t>
  </si>
  <si>
    <t>Bonito: S/. 3-4, Caballa y Jurel: S/.1- 2</t>
  </si>
  <si>
    <t xml:space="preserve">Tiene 2 embarcaciones bolicheras y ambas salen a la altura. Ahora sus tripulantes están pescando anchoveta para harina y venderlo a las empresas industriales (pesca ilegal). </t>
  </si>
  <si>
    <t>CC-SAN ANDRES-013</t>
  </si>
  <si>
    <t>Pedro Donayre</t>
  </si>
  <si>
    <t>San Andrés, Lagunilla, Laguna Grande</t>
  </si>
  <si>
    <t>COTSCOPEMAR</t>
  </si>
  <si>
    <t xml:space="preserve">Maricultur (crianza de concha de abanico en la zona de amortiguamiento de Paracas) y Presidente de la OSPA </t>
  </si>
  <si>
    <t>3 hijo (tripulante)</t>
  </si>
  <si>
    <t>DOÑA PETA</t>
  </si>
  <si>
    <t>PS-42425-BM</t>
  </si>
  <si>
    <t>27-69</t>
  </si>
  <si>
    <t>Usa mantas (20:5x4m) y pameras/manguera</t>
  </si>
  <si>
    <t>450-600</t>
  </si>
  <si>
    <t>26-50</t>
  </si>
  <si>
    <t>Hace 15 años él pescaba centolla con nasas (trampas) a más de 1800 de profundidad. Acopiador le descuenta S/. 1.50 por kg porque ya le dio para sus gastos para iniciar la primera salida.</t>
  </si>
  <si>
    <t>CC-SAN ANDRES-014</t>
  </si>
  <si>
    <t>Victor Salazar Matias</t>
  </si>
  <si>
    <t>El Chaco, Lagunillas</t>
  </si>
  <si>
    <t>2 hijo (tripulante)</t>
  </si>
  <si>
    <t>En San Andrés hay mucho viento y las mujeres se marean fácilmente, en cambio en el sur es más tranquilo por lo que salen en pareja.</t>
  </si>
  <si>
    <t xml:space="preserve">Cuando salen en pareja, el hombre se queda con el dinero ya que el ingreso es familiar. </t>
  </si>
  <si>
    <t>LA MECHONA</t>
  </si>
  <si>
    <t>PS-00675-BM</t>
  </si>
  <si>
    <t>120-160</t>
  </si>
  <si>
    <t>Usa esteras (12: 2x1.5m) con manta (12:3x2m) y sargazo/palmeras</t>
  </si>
  <si>
    <t>700-800</t>
  </si>
  <si>
    <t>35-50</t>
  </si>
  <si>
    <r>
      <t xml:space="preserve"> </t>
    </r>
    <r>
      <rPr>
        <b/>
        <sz val="11"/>
        <color theme="1"/>
        <rFont val="Aptos Narrow"/>
        <family val="2"/>
        <scheme val="minor"/>
      </rPr>
      <t>Pesca de perico con espinel es complementaria a la pesca del pez volador (solo para consumo a bordo y lo sala para traerlo a tierra para su familia)</t>
    </r>
    <r>
      <rPr>
        <sz val="11"/>
        <color theme="1"/>
        <rFont val="Aptos Narrow"/>
        <family val="2"/>
        <scheme val="minor"/>
      </rPr>
      <t>. Zona de pesca de ova: &gt;30 mn frente a Lomas y llega hasta Pucusana. El pescador indica que es muy cuidadoso con su producto por lo que no le sale ova con ojito. Menciona que algunos pescadores que van a la ova en San Andrés usan la manguera para reemplazar la palmera o zargazo cuando no hay (Él ha usado pero no le gustó). Una cala de ova en verano dura solo 24h.</t>
    </r>
  </si>
  <si>
    <t>CC-SAN ANDRES-015</t>
  </si>
  <si>
    <t xml:space="preserve">Martin Cueto Cortez </t>
  </si>
  <si>
    <t>TIO NACO II</t>
  </si>
  <si>
    <t>PS-52459-BM</t>
  </si>
  <si>
    <t>70-200</t>
  </si>
  <si>
    <t>20-80</t>
  </si>
  <si>
    <t>23-35</t>
  </si>
  <si>
    <t xml:space="preserve">30-50 </t>
  </si>
  <si>
    <t>#paños: 25, cocada: 6 pulgadas, malla 5x50 metros</t>
  </si>
  <si>
    <t>Septiembre-Mayo</t>
  </si>
  <si>
    <t>5/mes</t>
  </si>
  <si>
    <t>#paños: 10, cocada: 4 pulgadas, malla 9x128 metros</t>
  </si>
  <si>
    <t>1.5-5</t>
  </si>
  <si>
    <t xml:space="preserve">Gasta en la primera salida alrededor de S/.15000. Pez volador deposita sus huevos a los 17-18°C. Zona de pesca en la altura: &gt;30 mn frente a Marcona y llega hasta Pucusana. </t>
  </si>
  <si>
    <t>CC-SAN ANDRES-016</t>
  </si>
  <si>
    <t>Luis Carhuaz Rosales</t>
  </si>
  <si>
    <t>DELIA MILAGROS</t>
  </si>
  <si>
    <t>PS-31525-BM</t>
  </si>
  <si>
    <t>60-70</t>
  </si>
  <si>
    <t>Usa esteras (15:3x2m) con manta (15:3x2m) y sargazo/palmeras/manguera</t>
  </si>
  <si>
    <t>27-33</t>
  </si>
  <si>
    <t>En Pisco hay 2 acopiadores locales de ova: Chino Fernando (Fernando Kon) y Ruth Montoro. 1 saco es 100 kg</t>
  </si>
  <si>
    <t>CC-EL CHACO-002</t>
  </si>
  <si>
    <t>Elmer Cotrina</t>
  </si>
  <si>
    <t>Chincha</t>
  </si>
  <si>
    <t>El Chaco, Atenas</t>
  </si>
  <si>
    <t>Maricultur (crianza de concha de abanico en la zona de amortiguamiento de Paracas)</t>
  </si>
  <si>
    <t>MARIA VICTORIA</t>
  </si>
  <si>
    <t>PS-55515-BM</t>
  </si>
  <si>
    <t>90-108</t>
  </si>
  <si>
    <t>350-800</t>
  </si>
  <si>
    <t>38-43</t>
  </si>
  <si>
    <t xml:space="preserve">Gasta en la primera salida alrededor de S/.10000. Ova con ojo lo descarta a bordo ya que usualmente los compradores de ovas no lo compran. Antes se usaba solo estera y sargazo, ahora se usa palmeras y hasta manguera de regadío. Cuando el perico se empieza a comer al pez volador, lo captura con cortina para el consumo de los tripulantes a bordo. Trampa de ova: primero va la manta (hace sombra), luego la estera y luego la palmera. </t>
  </si>
  <si>
    <t>CC-EL CHACO-003</t>
  </si>
  <si>
    <t>Angel Miguel Echevarria Salguero</t>
  </si>
  <si>
    <t>ASOCIACION DE PESCADORES,MARICULTORES Y ARMADORES ARTESANALES DEL CHACO - PARACAS</t>
  </si>
  <si>
    <t>Alquiler de vela y moto acuática</t>
  </si>
  <si>
    <t>Limpieza de playas</t>
  </si>
  <si>
    <t>EL TOYO I</t>
  </si>
  <si>
    <t>PS-42693-BM</t>
  </si>
  <si>
    <t>30-59</t>
  </si>
  <si>
    <t>Usa esteras (12:1.5x2m) con manta (12:1.5x2m) y sargazo/palmeras</t>
  </si>
  <si>
    <t>15-28</t>
  </si>
  <si>
    <t>600-1500</t>
  </si>
  <si>
    <t>27-38</t>
  </si>
  <si>
    <t>Gasta en la primera salida alrededor de S/. 9000. Hay planta de procesamiento para ova en San Andrés. Pez volador nada en una corriente de agua celeste de 18 a 28°C. Ova con ojo: s/ 3. Trampa de ova: primero va la manta (hace sombra), luego la estera (en los lados zargazo para atraer al volador)  y luego la palmera. Pez volador deja su huevera en la palmera y el zargazo.</t>
  </si>
  <si>
    <t>SAN ANDRES</t>
  </si>
  <si>
    <t>Pez Espada</t>
  </si>
  <si>
    <t>Caballa Jurel</t>
  </si>
  <si>
    <t>Tollo, Espada</t>
  </si>
  <si>
    <t>CC-LOMAS-001</t>
  </si>
  <si>
    <t xml:space="preserve">Aldo Álvarez </t>
  </si>
  <si>
    <t>Lomas, Matarani, Pucusana</t>
  </si>
  <si>
    <t>APARVALM</t>
  </si>
  <si>
    <t>Presidente de OSPA, Proveedor de la Municipalidad</t>
  </si>
  <si>
    <t>Docente</t>
  </si>
  <si>
    <t>KEVIN JOSE</t>
  </si>
  <si>
    <t>7-10</t>
  </si>
  <si>
    <t>900-1200</t>
  </si>
  <si>
    <t>Desde el 2016 sale a la ova de pez volador.</t>
  </si>
  <si>
    <t>CC-LOMAS-002</t>
  </si>
  <si>
    <t>Walter Calle Ticona</t>
  </si>
  <si>
    <t>00517446</t>
  </si>
  <si>
    <t>GREMIO DE PESCADORES ARTESANALES Y EXTRACTORES DE MARISCOS</t>
  </si>
  <si>
    <t>Presidente de OSPA, Construcción</t>
  </si>
  <si>
    <t>Colecta de algas</t>
  </si>
  <si>
    <t>Pareja (colecta de algas)</t>
  </si>
  <si>
    <t>ASTRID JEREMY</t>
  </si>
  <si>
    <t>Usa esteras (5:1.5x2.5 m) con manta (10:2x8 m) y sargazo/palmeras</t>
  </si>
  <si>
    <t>48_72</t>
  </si>
  <si>
    <t>800-1500</t>
  </si>
  <si>
    <t>22-28</t>
  </si>
  <si>
    <t>pez volador, pota</t>
  </si>
  <si>
    <t>Linea madre: 5600 m,  #anzuelos/linea: 1, # anzuelos: 500, Calibre: 5</t>
  </si>
  <si>
    <t>Abril-Junio</t>
  </si>
  <si>
    <t>2.5-5</t>
  </si>
  <si>
    <t>Pesca de ova de pez volador: 3 días por cala (noviembre), 2 días (diciembre y enero). Considera que el número de pescadores y embarcaciones para la ova ha aumentado, por lo que ahora hay menos huevera. Para la primera salida para la ova se gasta un total de 14,000 soles (8,000 combustible + 3000 mantas y esteras + 500 zargazo+ 2400 palmeras + 3000 viveres). Dato: cada palmera cuesta 6 a 7 soles (compran 400). En Lomas hay 5 acopiadores en total.</t>
  </si>
  <si>
    <t>CC-LOMAS-003</t>
  </si>
  <si>
    <t>Justo Antayhua Valdiviezo</t>
  </si>
  <si>
    <t>ASOCIACIÓN DE PESCADORES ARTESANALES DE PINTA, CORDEL Y CAÑA DEFENSORES DE LOS BANCOS NATURALES DE LENGUADOS, CORVINAS Y MACHAS DEL PUERTO DE LOMAS (ASPAEL)</t>
  </si>
  <si>
    <t>Colecta de algas, Presidenta de asociación APA MIRAMAR</t>
  </si>
  <si>
    <t>EIMAR</t>
  </si>
  <si>
    <t>TA-22651-BM</t>
  </si>
  <si>
    <t>230-270</t>
  </si>
  <si>
    <t>21-60</t>
  </si>
  <si>
    <t>Usa esteras (5:2.8x1.2 m)con manta (2: 3.8x2.2 m) y sargazo/palmeras</t>
  </si>
  <si>
    <t>Actualmente usan más palmeras que zargazo ya que es más dificil de conseguir y se pudre fácilmente. Este zargazo se saca con barreteo. Precio de ova con ojo: S/ 5 a 10. El mismo se encarga de vender a compradores que tienen ese negocio de cau-cau para la sierra.</t>
  </si>
  <si>
    <t>CC-LOMAS-004</t>
  </si>
  <si>
    <t>Miguel Lima</t>
  </si>
  <si>
    <t>Lomas, Matarani</t>
  </si>
  <si>
    <t xml:space="preserve">APA MIRAMAR </t>
  </si>
  <si>
    <t>1 hijo (tripulante), 1 hijo (armador)</t>
  </si>
  <si>
    <t>TANIA FABIANA</t>
  </si>
  <si>
    <t>SN-54060-BM</t>
  </si>
  <si>
    <t>153-238</t>
  </si>
  <si>
    <t>800-1800</t>
  </si>
  <si>
    <t>Linea madre: 8200 m,  #anzuelos/linea: 1, # anzuelos: 500-600, Calibre: 8</t>
  </si>
  <si>
    <t>7-12</t>
  </si>
  <si>
    <t>Ova con ojo trata de regresarlo al mar. Pesca de perico (1 cala dura 7h: 30 min botar el espinel al agua + 2a3h que espera que el perico enganche + 3h en recoger todo el espinel). Acopiador de ova, perico y pota: Duber</t>
  </si>
  <si>
    <t>CC-LOMAS-005</t>
  </si>
  <si>
    <t xml:space="preserve">Luz Aurora Guerrero Fernandez </t>
  </si>
  <si>
    <t>Lomas, Pucusana</t>
  </si>
  <si>
    <t>Armador y patrón</t>
  </si>
  <si>
    <t>Pareja (armador), 1 hijo (tripulante), 1 hijo (armador)</t>
  </si>
  <si>
    <t xml:space="preserve">Principalmente para la ova </t>
  </si>
  <si>
    <t>SANTA ROSA II</t>
  </si>
  <si>
    <t>MO-38424-BM</t>
  </si>
  <si>
    <t>47-49</t>
  </si>
  <si>
    <t>Usa manta y palmera/manguera</t>
  </si>
  <si>
    <t>20-100</t>
  </si>
  <si>
    <t>37-41</t>
  </si>
  <si>
    <t>Durante su faena a la ova en la altura, ha visto ballenas jorobadas y delfines. Precio de ova con ojo: S/. 10 a 15 (le vende a acopiador que compra cau-cau)</t>
  </si>
  <si>
    <t>CC-LOMAS-006</t>
  </si>
  <si>
    <t>Juan Carlos Ochoa Taype</t>
  </si>
  <si>
    <t>Cajera de los botes en el muelle</t>
  </si>
  <si>
    <t>Pareja (cajera de botes)</t>
  </si>
  <si>
    <t>GINO Y ANGIE</t>
  </si>
  <si>
    <t>SN-42496-BM</t>
  </si>
  <si>
    <t>28-40</t>
  </si>
  <si>
    <t>Linea madre: 4300 m,  #anzuelos/linea: 1, # anzuelos: 300, Calibre: 5</t>
  </si>
  <si>
    <t>72-144</t>
  </si>
  <si>
    <t>4-5/mes</t>
  </si>
  <si>
    <t>1-1.20</t>
  </si>
  <si>
    <t>Zona de pesca en la altura (&gt;50 mn) va desde Atico a Pucusana y luego va bajando de nuevo a Lomas. TSM del pez volador: 18-19°C. En Lomas hay 4 acopiadores de ova, pero en temporada son de 8 a 10. Precio de ova con ojo: S/. 5 a 10. Otro acopiador compra la ova con ojo.</t>
  </si>
  <si>
    <t>CC-LOMAS-007</t>
  </si>
  <si>
    <t>Victor Medina</t>
  </si>
  <si>
    <t>ABEMALOS</t>
  </si>
  <si>
    <t>Vende comida</t>
  </si>
  <si>
    <t>Pescadora (pinta: cabrilla, lenguado)</t>
  </si>
  <si>
    <t>Pareja (tripulante)</t>
  </si>
  <si>
    <t>MATHIAS</t>
  </si>
  <si>
    <t>SN-04280-BM</t>
  </si>
  <si>
    <t>SN-55206-BM</t>
  </si>
  <si>
    <t>Linea madre: 2500 m,  #anzuelos/linea: 1, # anzuelos: 300, Calibre: 5</t>
  </si>
  <si>
    <t>2000-2500</t>
  </si>
  <si>
    <t>Ova con ojo lo compra un comerciante en muelle a S/.3. En la OSPA ABEMALOS, 3 mujeres salen a la altura.</t>
  </si>
  <si>
    <t>CC-LOMAS-008</t>
  </si>
  <si>
    <t>Wilfredo Mauricio Polo</t>
  </si>
  <si>
    <t>BLAKY</t>
  </si>
  <si>
    <t>SN-25309-BM</t>
  </si>
  <si>
    <t>64-67</t>
  </si>
  <si>
    <t>Usa esteras (4: 3x1.5 m) con manta (12: 6x1.5 m) y sargazo/palmeras</t>
  </si>
  <si>
    <t>Las esteras son de totora, la manta de plástico, la manguera de plástico y es la que usan en el campo para el riego a goteo (va a probar como le va para la siguiente temporada). Ova con ojo se descarta en el mar. Indica que en Lomas no hay pesca de boliche.</t>
  </si>
  <si>
    <t>CC-LOMAS-009</t>
  </si>
  <si>
    <t>Leonel Antayhua</t>
  </si>
  <si>
    <t>Lomas, Planchada, Matarani</t>
  </si>
  <si>
    <t>ADRIANELA</t>
  </si>
  <si>
    <t>SN-55525-BM</t>
  </si>
  <si>
    <t>Usa esteras (4: 3x1.5 m) con manta (10: 8x1.8 m) y sargazo/palmeras</t>
  </si>
  <si>
    <t>4-12</t>
  </si>
  <si>
    <t>Linea madre: 5800 m,  #anzuelos/linea: 1, # anzuelos: 400, Calibre: 4</t>
  </si>
  <si>
    <t>1800-2500</t>
  </si>
  <si>
    <t xml:space="preserve">Pesca de pota en la altura es esporádico, la última vez que salió fue en octubre 2024 a más de 80 mn. </t>
  </si>
  <si>
    <t>FV-LOMAS-001</t>
  </si>
  <si>
    <t>Jose Pastor Valdez</t>
  </si>
  <si>
    <t>ASOCIACIÓN DE PESCADORES ARTESANALES Y RECOLECTORES DE PRODUCTOR HIDROBIOLÓGICOS "LA PERLA DE PUERTO LOMAS"</t>
  </si>
  <si>
    <t>EL AMADOR</t>
  </si>
  <si>
    <t>28-60</t>
  </si>
  <si>
    <t>130-260</t>
  </si>
  <si>
    <t>pez volador, caballa</t>
  </si>
  <si>
    <t>Enero-Abril</t>
  </si>
  <si>
    <t>Linea madre: 2000 m,  #anzuelos/linea: 1, # anzuelos: 400, Calibre: 7</t>
  </si>
  <si>
    <t>10-13</t>
  </si>
  <si>
    <t>2-4/mes</t>
  </si>
  <si>
    <t>FV-LOMAS-002</t>
  </si>
  <si>
    <t>Yohan Lima Maquera</t>
  </si>
  <si>
    <t>ASOCIACIÓN DE PROPIETARIOS DE EMBARCACIONES PESQUERAS ARTESANALES DEL PUERTO DE LOMAS (APEPAL)</t>
  </si>
  <si>
    <t>LUIS ADRIANO</t>
  </si>
  <si>
    <t>Linea madre: 4000 m,  #anzuelos/linea: 1, # anzuelos: 250, Calibre: 8</t>
  </si>
  <si>
    <t>Mayo-Junio</t>
  </si>
  <si>
    <t>8000</t>
  </si>
  <si>
    <t>Acopiadores Lomas: Duber, Janet, Efrain, Zoraya</t>
  </si>
  <si>
    <t>FV-LOMAS-003</t>
  </si>
  <si>
    <t>CUSQUEÑITO</t>
  </si>
  <si>
    <t>PS-00623-BM</t>
  </si>
  <si>
    <t>Acopiador de ova: Duber.</t>
  </si>
  <si>
    <t>FV-LOMAS-004</t>
  </si>
  <si>
    <t>Jose Miguel Chambi Cure</t>
  </si>
  <si>
    <t>Lomas, Planchada, Atico</t>
  </si>
  <si>
    <t>SATURNINA</t>
  </si>
  <si>
    <t>MO-32934-BM</t>
  </si>
  <si>
    <t>23-41</t>
  </si>
  <si>
    <t>Linea madre: 4000 m,  #anzuelos/linea: 1, # anzuelos: 500, Calibre :4</t>
  </si>
  <si>
    <t>FV-LOMAS-005</t>
  </si>
  <si>
    <t>Mario Lizano Aybar</t>
  </si>
  <si>
    <t>Ya que van en familia y no se les paga igual</t>
  </si>
  <si>
    <t>ANGELES Y LUCIA</t>
  </si>
  <si>
    <t>PS-20879-BM</t>
  </si>
  <si>
    <t>136-170</t>
  </si>
  <si>
    <t>250-400</t>
  </si>
  <si>
    <t>pez volador</t>
  </si>
  <si>
    <t>Linea madre: 1000 m,  #anzuelos/linea: 1, # anzuelos: 200, Calibre :5</t>
  </si>
  <si>
    <t>1200-1800</t>
  </si>
  <si>
    <t xml:space="preserve">Hace más de 5 años que no sale al tiburón a la altura. </t>
  </si>
  <si>
    <t>CC-LOMAS-010</t>
  </si>
  <si>
    <t>Luis Castillo Ledesma</t>
  </si>
  <si>
    <t>Se requiere mucha fuerza física, la huevera si podrían pero el perico y tiburones no.</t>
  </si>
  <si>
    <t>Se les paga menos ya que tienen menos fuerza y menos capacidad para la pesca.</t>
  </si>
  <si>
    <t>IAN Y XIANA</t>
  </si>
  <si>
    <t>MO-36778-BM</t>
  </si>
  <si>
    <t>170-250</t>
  </si>
  <si>
    <t>Linea madre: 700 m,  #anzuelos/linea: 1, # anzuelos: 300-400, Calibre: 5</t>
  </si>
  <si>
    <t>Tiburón azul, Tiburón diamante, Tiburón zorro</t>
  </si>
  <si>
    <t>pota, bonito</t>
  </si>
  <si>
    <t>Marzo-Julio</t>
  </si>
  <si>
    <t>Linea madre: 700 m,  #anzuelos/linea: 1, # anzuelos: 300-400, Calibre: 7</t>
  </si>
  <si>
    <t>Zona de pesca en la altura (&gt;50 mn) va desde Atico a Pucusana y luego va bajando de nuevo a Lomas. TSM del pez volador: 18-19°C. En Lomas hay 4 acopiadores de ova, pero en temporada son de 8 a 10. Precio de ova con ojo: S/. 5 a 10. Otro acopiador compra l</t>
  </si>
  <si>
    <t>NC</t>
  </si>
  <si>
    <t>apagado</t>
  </si>
  <si>
    <t>937 139 760</t>
  </si>
  <si>
    <r>
      <rPr>
        <sz val="11"/>
        <color rgb="FFFF0000"/>
        <rFont val="Aptos Narrow"/>
        <family val="2"/>
        <scheme val="minor"/>
      </rPr>
      <t>Romel</t>
    </r>
    <r>
      <rPr>
        <sz val="11"/>
        <color theme="1"/>
        <rFont val="Aptos Narrow"/>
        <family val="2"/>
        <scheme val="minor"/>
      </rPr>
      <t xml:space="preserve"> Huerta Mendoza</t>
    </r>
  </si>
  <si>
    <r>
      <rPr>
        <sz val="11"/>
        <color rgb="FFFF0000"/>
        <rFont val="Aptos Narrow"/>
        <family val="2"/>
        <scheme val="minor"/>
      </rPr>
      <t>Pesca bonito con cerco hasta las</t>
    </r>
    <r>
      <rPr>
        <sz val="11"/>
        <color theme="1"/>
        <rFont val="Aptos Narrow"/>
        <family val="2"/>
        <scheme val="minor"/>
      </rPr>
      <t xml:space="preserve"> </t>
    </r>
    <r>
      <rPr>
        <sz val="11"/>
        <color rgb="FFFF0000"/>
        <rFont val="Aptos Narrow"/>
        <family val="2"/>
        <scheme val="minor"/>
      </rPr>
      <t>90</t>
    </r>
    <r>
      <rPr>
        <sz val="11"/>
        <color theme="1"/>
        <rFont val="Aptos Narrow"/>
        <family val="2"/>
        <scheme val="minor"/>
      </rPr>
      <t xml:space="preserve"> </t>
    </r>
    <r>
      <rPr>
        <sz val="11"/>
        <color rgb="FFFF0000"/>
        <rFont val="Aptos Narrow"/>
        <family val="2"/>
        <scheme val="minor"/>
      </rPr>
      <t xml:space="preserve">mn. Zona de pesca de altura: Lomas a Pucusana, principalmente frente a Chincha. </t>
    </r>
    <r>
      <rPr>
        <sz val="11"/>
        <color theme="1"/>
        <rFont val="Aptos Narrow"/>
        <family val="2"/>
        <scheme val="minor"/>
      </rPr>
      <t>Precio de ova con ojo: S/.7. Durante la faena, analiza el comportamiento del pez volador ya que cuando solo son machos busca en otro sitio hasta encontrar ova.</t>
    </r>
  </si>
  <si>
    <t>Ova (70-80 millas fuera de Marcona y La Planchada)</t>
  </si>
  <si>
    <t>Ova (150-200 millas fuera de Marcona y La Planchada)</t>
  </si>
  <si>
    <t>Ova (40 millas fuera de Marcona)</t>
  </si>
  <si>
    <t>Ova (100-120 millas fuera de Atico, Pisco, Marcona, Bayovar)</t>
  </si>
  <si>
    <t>Ova (20 millas fuera de Ilo a Huacho)</t>
  </si>
  <si>
    <t>Ova (100-120 millas fuera de Marcona)</t>
  </si>
  <si>
    <t>Zona: Bonito (20-60 millas fuera de Pucusana, Pisco); Perico (20-100 millas fuera de Pucusana, Pisco); Ova (100-120 millas fuera de Marcona). La estera cuando tiene huevos llama a mas peces. Llevan 30 esteras extras</t>
  </si>
  <si>
    <t>Ovas (100 millas fuera de Marcona)</t>
  </si>
  <si>
    <t>Ova (70-80 millas fuera de Atico, La Planchada)</t>
  </si>
  <si>
    <t>Ova (250 millas fuera de Huacho hacia el sur)</t>
  </si>
  <si>
    <t>Ova (100 millas fuera de Marcona)</t>
  </si>
  <si>
    <t>Ova (150 millas fuera de Marcona)</t>
  </si>
  <si>
    <t>#paños: 7, cocada: 5 pulgadas, malla 50 x 105 m</t>
  </si>
  <si>
    <t>Durante faena ova con ojo se descarta al mar, manta y manguera se amarran para simular al zargazo. Acopiador de ovas en Pisco (Embarcación: Astrid Carolina). Pesca de tiburones: &gt;120 mn desde la costa frente a Lomas. Pesca bacalao 3000m de profundicdad con cortina de fondo.</t>
  </si>
  <si>
    <t>Rec_Costero1</t>
  </si>
  <si>
    <t>Arte_Costera1</t>
  </si>
  <si>
    <t>Arte_Costera2</t>
  </si>
  <si>
    <t>Rec_Costero2</t>
  </si>
  <si>
    <t>bonito</t>
  </si>
  <si>
    <t>Caballa, lorna</t>
  </si>
  <si>
    <t>pejerrey</t>
  </si>
  <si>
    <t>pinta</t>
  </si>
  <si>
    <t>pejerrey, bonito</t>
  </si>
  <si>
    <t>pejerrey, chauchilla</t>
  </si>
  <si>
    <t>jurel, caballa, lorna, chauchilla</t>
  </si>
  <si>
    <t>pota, bonito, jurel</t>
  </si>
  <si>
    <t>pejerrey, cachema, lorna</t>
  </si>
  <si>
    <t>pejerrey, lorna</t>
  </si>
  <si>
    <t>pejerrey, jurel, caballa</t>
  </si>
  <si>
    <t>cabrilla, bonito</t>
  </si>
  <si>
    <t>pejerrey, caballa</t>
  </si>
  <si>
    <t>pejerrey, jurel, bonito</t>
  </si>
  <si>
    <t>algas</t>
  </si>
  <si>
    <t>Buceo compresora</t>
  </si>
  <si>
    <t>mariscos</t>
  </si>
  <si>
    <t>Arte_Costera3</t>
  </si>
  <si>
    <t>Rec_Costero3</t>
  </si>
  <si>
    <t>cabinza</t>
  </si>
  <si>
    <t>Pinta</t>
  </si>
  <si>
    <t>cabinza, jurel, cojinova, cabrilla</t>
  </si>
  <si>
    <t>Buceo pulmón</t>
  </si>
  <si>
    <t>yuyo</t>
  </si>
  <si>
    <t>cangrejos</t>
  </si>
  <si>
    <t>Trampa nasas</t>
  </si>
  <si>
    <t>jurel, caballa, cabinza</t>
  </si>
  <si>
    <t>jurel, caballa</t>
  </si>
  <si>
    <t>mariscos, pulpo</t>
  </si>
  <si>
    <t>lenguado, cabrilla, congrio</t>
  </si>
  <si>
    <t>jurel, cojinova, cabinza, caballa</t>
  </si>
  <si>
    <t>corvina, lenguado</t>
  </si>
  <si>
    <t>corvina</t>
  </si>
  <si>
    <t>mariscos, lenguado, pintadilla</t>
  </si>
  <si>
    <t>cabrilla, lenguado, pintadilla</t>
  </si>
  <si>
    <t>mariscos, pulpo, lenguado, congrio, pintadilla</t>
  </si>
  <si>
    <t>cabrilla, corvina</t>
  </si>
  <si>
    <t>Cortina costera</t>
  </si>
  <si>
    <t>mariscos, tramboyo, pintadilla, lenguado</t>
  </si>
  <si>
    <t>Lisa</t>
  </si>
  <si>
    <t>Cerco costero</t>
  </si>
  <si>
    <t>anchoveta</t>
  </si>
  <si>
    <t>cojinova, cachema</t>
  </si>
  <si>
    <t>mariscos, cabrilla, lenguado, congrio, cherlo, tramboyo</t>
  </si>
  <si>
    <t>mariscos, pulpo, barquillo, chanque</t>
  </si>
  <si>
    <t>corvina, lorna, chita, lenguado, cabrilla</t>
  </si>
  <si>
    <t>Espinel de orilla</t>
  </si>
  <si>
    <t>lenguado, raya, tollo</t>
  </si>
  <si>
    <t>mariscos, pulpo, pintadilla, congrio, cabrilla</t>
  </si>
  <si>
    <t>Otra_Pesca</t>
  </si>
  <si>
    <t xml:space="preserve">Cortina costera </t>
  </si>
  <si>
    <t>cortina costera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</si>
</sst>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name val="Aptos Narrow"/>
      <family val="2"/>
      <scheme val="minor"/>
    </font>
    <font>
      <b/>
      <sz val="11"/>
      <color theme="1"/>
      <name val="Aptos Narrow"/>
      <family val="2"/>
      <scheme val="minor"/>
    </font>
    <font>
      <sz val="11"/>
      <color theme="1"/>
      <name val="Calibri"/>
      <family val="2"/>
    </font>
    <font>
      <sz val="11"/>
      <color rgb="FFFF0000"/>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2">
    <border>
      <left/>
      <right/>
      <top/>
      <bottom/>
      <diagonal/>
    </border>
    <border>
      <left/>
      <right/>
      <top/>
      <bottom style="medium">
        <color indexed="64"/>
      </bottom>
      <diagonal/>
    </border>
  </borders>
  <cellStyleXfs count="1">
    <xf numFmtId="0" fontId="0" fillId="0" borderId="0"/>
  </cellStyleXfs>
  <cellXfs count="29">
    <xf numFmtId="0" fontId="0" fillId="0" borderId="0" xfId="0"/>
    <xf numFmtId="14" fontId="0" fillId="0" borderId="0" xfId="0" applyNumberFormat="1"/>
    <xf numFmtId="2" fontId="0" fillId="0" borderId="0" xfId="0" applyNumberFormat="1"/>
    <xf numFmtId="49" fontId="0" fillId="0" borderId="0" xfId="0" applyNumberFormat="1"/>
    <xf numFmtId="49" fontId="0" fillId="0" borderId="0" xfId="0" applyNumberFormat="1" applyProtection="1">
      <protection locked="0" hidden="1"/>
    </xf>
    <xf numFmtId="0" fontId="2" fillId="0" borderId="0" xfId="0" applyFont="1"/>
    <xf numFmtId="0" fontId="0" fillId="0" borderId="0" xfId="0" applyAlignment="1">
      <alignment horizontal="right"/>
    </xf>
    <xf numFmtId="0" fontId="0" fillId="0" borderId="0" xfId="0" quotePrefix="1" applyAlignment="1">
      <alignment horizontal="right"/>
    </xf>
    <xf numFmtId="0" fontId="0" fillId="0" borderId="0" xfId="0" applyAlignment="1">
      <alignment horizontal="center"/>
    </xf>
    <xf numFmtId="17" fontId="0" fillId="0" borderId="0" xfId="0" quotePrefix="1" applyNumberFormat="1"/>
    <xf numFmtId="0" fontId="0" fillId="0" borderId="0" xfId="0" quotePrefix="1"/>
    <xf numFmtId="0" fontId="3" fillId="0" borderId="0" xfId="0" applyFont="1"/>
    <xf numFmtId="0" fontId="0" fillId="0" borderId="1" xfId="0" applyBorder="1"/>
    <xf numFmtId="49" fontId="0" fillId="0" borderId="1" xfId="0" applyNumberFormat="1" applyBorder="1" applyProtection="1">
      <protection locked="0" hidden="1"/>
    </xf>
    <xf numFmtId="49" fontId="0" fillId="0" borderId="0" xfId="0" applyNumberFormat="1" applyAlignment="1">
      <alignment horizontal="center"/>
    </xf>
    <xf numFmtId="1" fontId="0" fillId="0" borderId="0" xfId="0" applyNumberFormat="1"/>
    <xf numFmtId="16" fontId="0" fillId="0" borderId="0" xfId="0" applyNumberFormat="1"/>
    <xf numFmtId="49" fontId="0" fillId="0" borderId="0" xfId="0" applyNumberFormat="1" applyAlignment="1">
      <alignment wrapText="1"/>
    </xf>
    <xf numFmtId="49" fontId="3" fillId="0" borderId="0" xfId="0" applyNumberFormat="1" applyFont="1"/>
    <xf numFmtId="0" fontId="4" fillId="0" borderId="0" xfId="0" applyFont="1"/>
    <xf numFmtId="0" fontId="0" fillId="2" borderId="0" xfId="0" applyFill="1"/>
    <xf numFmtId="17" fontId="0" fillId="0" borderId="0" xfId="0" applyNumberFormat="1"/>
    <xf numFmtId="0" fontId="0" fillId="3" borderId="0" xfId="0" applyFill="1"/>
    <xf numFmtId="0" fontId="5" fillId="3" borderId="0" xfId="0" applyFont="1" applyFill="1"/>
    <xf numFmtId="49" fontId="5" fillId="3" borderId="0" xfId="0" applyNumberFormat="1" applyFont="1" applyFill="1"/>
    <xf numFmtId="49" fontId="0" fillId="3" borderId="0" xfId="0" applyNumberFormat="1" applyFill="1"/>
    <xf numFmtId="0" fontId="0" fillId="4" borderId="0" xfId="0" applyFill="1"/>
    <xf numFmtId="49" fontId="0" fillId="4" borderId="0" xfId="0" applyNumberFormat="1" applyFill="1" applyProtection="1">
      <protection locked="0" hidden="1"/>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'Dias de faena'!$A$31</c:f>
              <c:strCache>
                <c:ptCount val="1"/>
                <c:pt idx="0">
                  <c:v>Pota</c:v>
                </c:pt>
              </c:strCache>
            </c:strRef>
          </c:tx>
          <c:spPr>
            <a:solidFill>
              <a:schemeClr val="accent1"/>
            </a:solidFill>
            <a:ln>
              <a:noFill/>
            </a:ln>
            <a:effectLst/>
          </c:spPr>
          <c:invertIfNegative val="0"/>
          <c:cat>
            <c:strRef>
              <c:f>'Dias de faena'!$I$25:$I$30</c:f>
              <c:strCache>
                <c:ptCount val="6"/>
                <c:pt idx="0">
                  <c:v>4-6</c:v>
                </c:pt>
                <c:pt idx="1">
                  <c:v>7-9</c:v>
                </c:pt>
                <c:pt idx="2">
                  <c:v>10-12</c:v>
                </c:pt>
                <c:pt idx="3">
                  <c:v>13-15</c:v>
                </c:pt>
                <c:pt idx="4">
                  <c:v>16-18</c:v>
                </c:pt>
                <c:pt idx="5">
                  <c:v>19-22</c:v>
                </c:pt>
              </c:strCache>
            </c:strRef>
          </c:cat>
          <c:val>
            <c:numRef>
              <c:f>'Dias de faena'!$J$25:$J$30</c:f>
              <c:numCache>
                <c:formatCode>General</c:formatCode>
                <c:ptCount val="6"/>
                <c:pt idx="0">
                  <c:v>2</c:v>
                </c:pt>
                <c:pt idx="1">
                  <c:v>7</c:v>
                </c:pt>
                <c:pt idx="2">
                  <c:v>2</c:v>
                </c:pt>
                <c:pt idx="3">
                  <c:v>4</c:v>
                </c:pt>
                <c:pt idx="4">
                  <c:v>0</c:v>
                </c:pt>
                <c:pt idx="5">
                  <c:v>3</c:v>
                </c:pt>
              </c:numCache>
            </c:numRef>
          </c:val>
          <c:extLst>
            <c:ext xmlns:c16="http://schemas.microsoft.com/office/drawing/2014/chart" uri="{C3380CC4-5D6E-409C-BE32-E72D297353CC}">
              <c16:uniqueId val="{00000000-5B35-484C-8DFC-BA92E4CCE15B}"/>
            </c:ext>
          </c:extLst>
        </c:ser>
        <c:dLbls>
          <c:showLegendKey val="0"/>
          <c:showVal val="0"/>
          <c:showCatName val="0"/>
          <c:showSerName val="0"/>
          <c:showPercent val="0"/>
          <c:showBubbleSize val="0"/>
        </c:dLbls>
        <c:gapWidth val="219"/>
        <c:overlap val="-27"/>
        <c:axId val="1044455696"/>
        <c:axId val="1044456656"/>
      </c:barChart>
      <c:catAx>
        <c:axId val="10444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56656"/>
        <c:crosses val="autoZero"/>
        <c:auto val="1"/>
        <c:lblAlgn val="ctr"/>
        <c:lblOffset val="100"/>
        <c:noMultiLvlLbl val="0"/>
      </c:catAx>
      <c:valAx>
        <c:axId val="104445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5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'Dias de faena'!$A$43</c:f>
              <c:strCache>
                <c:ptCount val="1"/>
                <c:pt idx="0">
                  <c:v>Perico</c:v>
                </c:pt>
              </c:strCache>
            </c:strRef>
          </c:tx>
          <c:spPr>
            <a:solidFill>
              <a:schemeClr val="accent1"/>
            </a:solidFill>
            <a:ln>
              <a:noFill/>
            </a:ln>
            <a:effectLst/>
          </c:spPr>
          <c:invertIfNegative val="0"/>
          <c:cat>
            <c:strRef>
              <c:f>'Dias de faena'!$I$45:$I$49</c:f>
              <c:strCache>
                <c:ptCount val="5"/>
                <c:pt idx="0">
                  <c:v>5-10</c:v>
                </c:pt>
                <c:pt idx="1">
                  <c:v>11-15</c:v>
                </c:pt>
                <c:pt idx="2">
                  <c:v>16-20</c:v>
                </c:pt>
                <c:pt idx="3">
                  <c:v>21-25</c:v>
                </c:pt>
                <c:pt idx="4">
                  <c:v>26-30</c:v>
                </c:pt>
              </c:strCache>
            </c:strRef>
          </c:cat>
          <c:val>
            <c:numRef>
              <c:f>'Dias de faena'!$J$45:$J$49</c:f>
              <c:numCache>
                <c:formatCode>General</c:formatCode>
                <c:ptCount val="5"/>
                <c:pt idx="0">
                  <c:v>7</c:v>
                </c:pt>
                <c:pt idx="1">
                  <c:v>2</c:v>
                </c:pt>
                <c:pt idx="2">
                  <c:v>5</c:v>
                </c:pt>
                <c:pt idx="3">
                  <c:v>0</c:v>
                </c:pt>
                <c:pt idx="4">
                  <c:v>5</c:v>
                </c:pt>
              </c:numCache>
            </c:numRef>
          </c:val>
          <c:extLst>
            <c:ext xmlns:c16="http://schemas.microsoft.com/office/drawing/2014/chart" uri="{C3380CC4-5D6E-409C-BE32-E72D297353CC}">
              <c16:uniqueId val="{00000000-1335-4270-930D-42D1059D1764}"/>
            </c:ext>
          </c:extLst>
        </c:ser>
        <c:dLbls>
          <c:showLegendKey val="0"/>
          <c:showVal val="0"/>
          <c:showCatName val="0"/>
          <c:showSerName val="0"/>
          <c:showPercent val="0"/>
          <c:showBubbleSize val="0"/>
        </c:dLbls>
        <c:gapWidth val="219"/>
        <c:overlap val="-27"/>
        <c:axId val="1044455696"/>
        <c:axId val="1044456656"/>
      </c:barChart>
      <c:catAx>
        <c:axId val="104445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56656"/>
        <c:crosses val="autoZero"/>
        <c:auto val="1"/>
        <c:lblAlgn val="ctr"/>
        <c:lblOffset val="100"/>
        <c:noMultiLvlLbl val="0"/>
      </c:catAx>
      <c:valAx>
        <c:axId val="104445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5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buNone/>
              <a:defRPr sz="1600"/>
            </a:pPr>
            <a:r>
              <a:rPr lang="en-US" sz="1600" b="1" i="0" kern="1200" spc="0" baseline="0">
                <a:solidFill>
                  <a:srgbClr val="000000"/>
                </a:solidFill>
                <a:effectLst/>
                <a:latin typeface="Aptos Narrow" panose="020B0004020202020204" pitchFamily="34" charset="0"/>
                <a:ea typeface="Calibri" panose="020F0502020204030204" pitchFamily="34" charset="0"/>
                <a:cs typeface="Calibri" panose="020F0502020204030204" pitchFamily="34" charset="0"/>
              </a:rPr>
              <a:t>Duración de faena según recurso – Pucusana</a:t>
            </a:r>
            <a:endParaRPr lang="en-US" sz="1600">
              <a:effectLst/>
            </a:endParaRPr>
          </a:p>
        </cx:rich>
      </cx:tx>
    </cx:title>
    <cx:plotArea>
      <cx:plotAreaRegion>
        <cx:series layoutId="boxWhisker" uniqueId="{2449529F-B0B1-4EF2-9514-5BA46851B9A8}">
          <cx:spPr>
            <a:solidFill>
              <a:schemeClr val="accent1">
                <a:lumMod val="40000"/>
                <a:lumOff val="60000"/>
              </a:schemeClr>
            </a:solidFill>
            <a:ln w="12700">
              <a:solidFill>
                <a:schemeClr val="tx1"/>
              </a:solidFill>
              <a:prstDash val="solid"/>
            </a:ln>
          </cx:spPr>
          <cx:dataId val="0"/>
          <cx:layoutPr>
            <cx:visibility meanLine="0" meanMarker="1" nonoutliers="0" outliers="0"/>
            <cx:statistics quartileMethod="exclusive"/>
          </cx:layoutPr>
        </cx:series>
      </cx:plotAreaRegion>
      <cx:axis id="0">
        <cx:catScaling gapWidth="1"/>
        <cx:majorGridlines/>
        <cx:tickLabels/>
        <cx:txPr>
          <a:bodyPr spcFirstLastPara="1" vertOverflow="ellipsis" horzOverflow="overflow" wrap="square" lIns="0" tIns="0" rIns="0" bIns="0" anchor="ctr" anchorCtr="1"/>
          <a:lstStyle/>
          <a:p>
            <a:pPr algn="ctr" rtl="0">
              <a:defRPr sz="1050">
                <a:solidFill>
                  <a:sysClr val="windowText" lastClr="000000"/>
                </a:solidFill>
              </a:defRPr>
            </a:pPr>
            <a:endParaRPr lang="en-US" sz="1050" b="0" i="0" u="none" strike="noStrike" baseline="0">
              <a:solidFill>
                <a:sysClr val="windowText" lastClr="000000"/>
              </a:solidFill>
              <a:latin typeface="Aptos Narrow" panose="02110004020202020204"/>
            </a:endParaRPr>
          </a:p>
        </cx:txPr>
      </cx:axis>
      <cx:axis id="1">
        <cx:valScaling/>
        <cx:title>
          <cx:tx>
            <cx:txData>
              <cx:v>Dias</cx:v>
            </cx:txData>
          </cx:tx>
          <cx:txPr>
            <a:bodyPr spcFirstLastPara="1" vertOverflow="ellipsis" horzOverflow="overflow" wrap="square" lIns="0" tIns="0" rIns="0" bIns="0" anchor="ctr" anchorCtr="1"/>
            <a:lstStyle/>
            <a:p>
              <a:pPr algn="ctr" rtl="0">
                <a:defRPr sz="1000">
                  <a:solidFill>
                    <a:sysClr val="windowText" lastClr="000000"/>
                  </a:solidFill>
                </a:defRPr>
              </a:pPr>
              <a:r>
                <a:rPr lang="en-US" sz="1000" b="0" i="0" u="none" strike="noStrike" baseline="0">
                  <a:solidFill>
                    <a:sysClr val="windowText" lastClr="000000"/>
                  </a:solidFill>
                  <a:latin typeface="Aptos Narrow" panose="02110004020202020204"/>
                </a:rPr>
                <a:t>Dias</a:t>
              </a:r>
            </a:p>
          </cx:txPr>
        </cx:title>
        <cx:majorGridlines/>
        <cx:tickLabels/>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buNone/>
              <a:defRPr sz="1600"/>
            </a:pPr>
            <a:r>
              <a:rPr lang="en-US" sz="1600" b="1" i="0" kern="1200" spc="0" baseline="0">
                <a:solidFill>
                  <a:srgbClr val="000000"/>
                </a:solidFill>
                <a:effectLst/>
                <a:latin typeface="Aptos Narrow" panose="020B0004020202020204" pitchFamily="34" charset="0"/>
                <a:ea typeface="Calibri" panose="020F0502020204030204" pitchFamily="34" charset="0"/>
                <a:cs typeface="Calibri" panose="020F0502020204030204" pitchFamily="34" charset="0"/>
              </a:rPr>
              <a:t>Duración de faena según recurso – Marcona</a:t>
            </a:r>
            <a:endParaRPr lang="en-US" sz="1600">
              <a:effectLst/>
            </a:endParaRPr>
          </a:p>
        </cx:rich>
      </cx:tx>
    </cx:title>
    <cx:plotArea>
      <cx:plotAreaRegion>
        <cx:series layoutId="boxWhisker" uniqueId="{2449529F-B0B1-4EF2-9514-5BA46851B9A8}">
          <cx:spPr>
            <a:solidFill>
              <a:schemeClr val="accent2"/>
            </a:solidFill>
            <a:ln w="12700">
              <a:solidFill>
                <a:schemeClr val="tx1"/>
              </a:solidFill>
              <a:prstDash val="solid"/>
            </a:ln>
          </cx:spPr>
          <cx:dataId val="0"/>
          <cx:layoutPr>
            <cx:visibility meanLine="0" meanMarker="1" nonoutliers="0" outliers="0"/>
            <cx:statistics quartileMethod="exclusive"/>
          </cx:layoutPr>
        </cx:series>
      </cx:plotAreaRegion>
      <cx:axis id="0">
        <cx:catScaling gapWidth="1"/>
        <cx:majorGridlines/>
        <cx:tickLabels/>
        <cx:txPr>
          <a:bodyPr spcFirstLastPara="1" vertOverflow="ellipsis" horzOverflow="overflow" wrap="square" lIns="0" tIns="0" rIns="0" bIns="0" anchor="ctr" anchorCtr="1"/>
          <a:lstStyle/>
          <a:p>
            <a:pPr algn="ctr" rtl="0">
              <a:defRPr sz="1050">
                <a:solidFill>
                  <a:sysClr val="windowText" lastClr="000000"/>
                </a:solidFill>
              </a:defRPr>
            </a:pPr>
            <a:endParaRPr lang="en-US" sz="1050" b="0" i="0" u="none" strike="noStrike" baseline="0">
              <a:solidFill>
                <a:sysClr val="windowText" lastClr="000000"/>
              </a:solidFill>
              <a:latin typeface="Aptos Narrow" panose="02110004020202020204"/>
            </a:endParaRPr>
          </a:p>
        </cx:txPr>
      </cx:axis>
      <cx:axis id="1">
        <cx:valScaling/>
        <cx:title>
          <cx:tx>
            <cx:txData>
              <cx:v>Dias</cx:v>
            </cx:txData>
          </cx:tx>
          <cx:txPr>
            <a:bodyPr spcFirstLastPara="1" vertOverflow="ellipsis" horzOverflow="overflow" wrap="square" lIns="0" tIns="0" rIns="0" bIns="0" anchor="ctr" anchorCtr="1"/>
            <a:lstStyle/>
            <a:p>
              <a:pPr algn="ctr" rtl="0">
                <a:defRPr sz="1000">
                  <a:solidFill>
                    <a:sysClr val="windowText" lastClr="000000"/>
                  </a:solidFill>
                </a:defRPr>
              </a:pPr>
              <a:r>
                <a:rPr lang="en-US" sz="1000" b="0" i="0" u="none" strike="noStrike" baseline="0">
                  <a:solidFill>
                    <a:sysClr val="windowText" lastClr="000000"/>
                  </a:solidFill>
                  <a:latin typeface="Aptos Narrow" panose="02110004020202020204"/>
                </a:rPr>
                <a:t>Dias</a:t>
              </a:r>
            </a:p>
          </cx:txPr>
        </cx:title>
        <cx:majorGridlines/>
        <cx:tickLabels/>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Aptos Narrow" panose="0211000402020202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Duración de faena según recurso – San Andrés</cx:v>
        </cx:txData>
      </cx:tx>
      <cx:txPr>
        <a:bodyPr spcFirstLastPara="1" vertOverflow="ellipsis" horzOverflow="overflow" wrap="square" lIns="0" tIns="0" rIns="0" bIns="0" anchor="ctr" anchorCtr="1"/>
        <a:lstStyle/>
        <a:p>
          <a:pPr algn="ctr" rtl="0">
            <a:defRPr sz="1600">
              <a:solidFill>
                <a:sysClr val="windowText" lastClr="000000"/>
              </a:solidFill>
            </a:defRPr>
          </a:pPr>
          <a:r>
            <a:rPr lang="en-US" sz="1600" b="1" i="0" u="none" strike="noStrike" kern="1200" spc="0" baseline="0">
              <a:solidFill>
                <a:sysClr val="windowText" lastClr="000000"/>
              </a:solidFill>
              <a:latin typeface="+mn-lt"/>
              <a:ea typeface="+mn-ea"/>
              <a:cs typeface="+mn-cs"/>
            </a:rPr>
            <a:t>Duración de faena según recurso – San Andrés</a:t>
          </a:r>
        </a:p>
      </cx:txPr>
    </cx:title>
    <cx:plotArea>
      <cx:plotAreaRegion>
        <cx:series layoutId="boxWhisker" uniqueId="{2449529F-B0B1-4EF2-9514-5BA46851B9A8}">
          <cx:spPr>
            <a:solidFill>
              <a:schemeClr val="accent6">
                <a:lumMod val="75000"/>
              </a:schemeClr>
            </a:solidFill>
            <a:ln w="12700">
              <a:solidFill>
                <a:schemeClr val="tx1"/>
              </a:solidFill>
              <a:prstDash val="solid"/>
            </a:ln>
          </cx:spPr>
          <cx:dataId val="0"/>
          <cx:layoutPr>
            <cx:visibility meanLine="0" meanMarker="1" nonoutliers="0" outliers="0"/>
            <cx:statistics quartileMethod="exclusive"/>
          </cx:layoutPr>
        </cx:series>
      </cx:plotAreaRegion>
      <cx:axis id="0">
        <cx:catScaling gapWidth="1"/>
        <cx:majorGridlines/>
        <cx:tickLabels/>
        <cx:txPr>
          <a:bodyPr spcFirstLastPara="1" vertOverflow="ellipsis" horzOverflow="overflow" wrap="square" lIns="0" tIns="0" rIns="0" bIns="0" anchor="ctr" anchorCtr="1"/>
          <a:lstStyle/>
          <a:p>
            <a:pPr algn="ctr" rtl="0">
              <a:defRPr sz="1050">
                <a:solidFill>
                  <a:sysClr val="windowText" lastClr="000000"/>
                </a:solidFill>
              </a:defRPr>
            </a:pPr>
            <a:endParaRPr lang="en-US" sz="1050" b="0" i="0" u="none" strike="noStrike" baseline="0">
              <a:solidFill>
                <a:sysClr val="windowText" lastClr="000000"/>
              </a:solidFill>
              <a:latin typeface="Aptos Narrow" panose="02110004020202020204"/>
            </a:endParaRPr>
          </a:p>
        </cx:txPr>
      </cx:axis>
      <cx:axis id="1">
        <cx:valScaling/>
        <cx:title>
          <cx:tx>
            <cx:txData>
              <cx:v>Dias</cx:v>
            </cx:txData>
          </cx:tx>
          <cx:txPr>
            <a:bodyPr spcFirstLastPara="1" vertOverflow="ellipsis" horzOverflow="overflow" wrap="square" lIns="0" tIns="0" rIns="0" bIns="0" anchor="ctr" anchorCtr="1"/>
            <a:lstStyle/>
            <a:p>
              <a:pPr algn="ctr" rtl="0">
                <a:defRPr sz="1000">
                  <a:solidFill>
                    <a:sysClr val="windowText" lastClr="000000"/>
                  </a:solidFill>
                </a:defRPr>
              </a:pPr>
              <a:r>
                <a:rPr lang="en-US" sz="1000" b="0" i="0" u="none" strike="noStrike" baseline="0">
                  <a:solidFill>
                    <a:sysClr val="windowText" lastClr="000000"/>
                  </a:solidFill>
                  <a:latin typeface="Aptos Narrow" panose="02110004020202020204"/>
                </a:rPr>
                <a:t>Dias</a:t>
              </a:r>
            </a:p>
          </cx:txPr>
        </cx:title>
        <cx:majorGridlines/>
        <cx:tickLabels/>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microsoft.com/office/2014/relationships/chartEx" Target="../charts/chartEx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8</xdr:col>
      <xdr:colOff>42862</xdr:colOff>
      <xdr:row>2</xdr:row>
      <xdr:rowOff>23811</xdr:rowOff>
    </xdr:from>
    <xdr:to>
      <xdr:col>17</xdr:col>
      <xdr:colOff>590550</xdr:colOff>
      <xdr:row>19</xdr:row>
      <xdr:rowOff>161924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8E6984A-2AFF-4092-C978-EEAFBD706E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1087" y="404811"/>
              <a:ext cx="6967538" cy="33766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581025</xdr:colOff>
      <xdr:row>35</xdr:row>
      <xdr:rowOff>28575</xdr:rowOff>
    </xdr:from>
    <xdr:to>
      <xdr:col>17</xdr:col>
      <xdr:colOff>271463</xdr:colOff>
      <xdr:row>48</xdr:row>
      <xdr:rowOff>71437</xdr:rowOff>
    </xdr:to>
    <xdr:graphicFrame macro="">
      <xdr:nvGraphicFramePr>
        <xdr:cNvPr id="9" name="Chart 8">
          <a:extLst>
            <a:ext uri="{FF2B5EF4-FFF2-40B4-BE49-F238E27FC236}">
              <a16:creationId xmlns:a16="http://schemas.microsoft.com/office/drawing/2014/main" id="{06D53FD6-6280-4788-A65A-F94BAD143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50</xdr:row>
      <xdr:rowOff>0</xdr:rowOff>
    </xdr:from>
    <xdr:to>
      <xdr:col>17</xdr:col>
      <xdr:colOff>300038</xdr:colOff>
      <xdr:row>63</xdr:row>
      <xdr:rowOff>42862</xdr:rowOff>
    </xdr:to>
    <xdr:graphicFrame macro="">
      <xdr:nvGraphicFramePr>
        <xdr:cNvPr id="10" name="Chart 9">
          <a:extLst>
            <a:ext uri="{FF2B5EF4-FFF2-40B4-BE49-F238E27FC236}">
              <a16:creationId xmlns:a16="http://schemas.microsoft.com/office/drawing/2014/main" id="{D91531E2-349F-49A9-A325-F5F590D64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28575</xdr:colOff>
      <xdr:row>90</xdr:row>
      <xdr:rowOff>0</xdr:rowOff>
    </xdr:from>
    <xdr:to>
      <xdr:col>19</xdr:col>
      <xdr:colOff>252413</xdr:colOff>
      <xdr:row>107</xdr:row>
      <xdr:rowOff>138113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D8C9D5E-E276-4BC6-986D-4FE8A66E8A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72150" y="17192625"/>
              <a:ext cx="6967538" cy="33861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167</xdr:row>
      <xdr:rowOff>28575</xdr:rowOff>
    </xdr:from>
    <xdr:to>
      <xdr:col>17</xdr:col>
      <xdr:colOff>547688</xdr:colOff>
      <xdr:row>184</xdr:row>
      <xdr:rowOff>138113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CC0D37A-A050-4DFA-AFDC-8DEBD0D8C3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48225" y="31937325"/>
              <a:ext cx="6967538" cy="33766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53E6-F6AD-4994-82F6-77EC334161D2}">
  <dimension ref="A1:CY52"/>
  <sheetViews>
    <sheetView topLeftCell="M1" zoomScale="90" zoomScaleNormal="90" workbookViewId="0">
      <pane ySplit="1" topLeftCell="A2" activePane="bottomLeft" state="frozen"/>
      <selection pane="bottomLeft" activeCell="V7" sqref="V7"/>
    </sheetView>
  </sheetViews>
  <sheetFormatPr defaultColWidth="11.42578125" defaultRowHeight="15" x14ac:dyDescent="0.25"/>
  <cols>
    <col min="1" max="1" width="25.140625" customWidth="1"/>
    <col min="2" max="2" width="20.140625" bestFit="1" customWidth="1"/>
    <col min="3" max="3" width="15.140625" bestFit="1" customWidth="1"/>
    <col min="4" max="4" width="38.85546875" customWidth="1"/>
    <col min="5" max="5" width="11.140625" style="6" customWidth="1"/>
    <col min="6" max="6" width="11.5703125" customWidth="1"/>
    <col min="7" max="7" width="11.42578125" customWidth="1"/>
    <col min="8" max="8" width="15.85546875" customWidth="1"/>
    <col min="9" max="9" width="12.5703125" customWidth="1"/>
    <col min="10" max="10" width="27.140625" customWidth="1"/>
    <col min="11" max="12" width="17.5703125" customWidth="1"/>
    <col min="13" max="13" width="8.28515625" customWidth="1"/>
    <col min="14" max="14" width="11.42578125" customWidth="1"/>
    <col min="15" max="15" width="17.42578125" customWidth="1"/>
    <col min="16" max="16" width="11.42578125" customWidth="1"/>
    <col min="17" max="17" width="12.85546875" customWidth="1"/>
    <col min="18" max="18" width="15.5703125" customWidth="1"/>
    <col min="19" max="19" width="11.42578125" customWidth="1"/>
    <col min="20" max="20" width="43.7109375" customWidth="1"/>
    <col min="21" max="21" width="10.5703125" bestFit="1" customWidth="1"/>
    <col min="22" max="25" width="13.5703125" customWidth="1"/>
    <col min="26" max="26" width="13.140625" bestFit="1" customWidth="1"/>
    <col min="27" max="27" width="14" customWidth="1"/>
    <col min="28" max="28" width="13.42578125" bestFit="1" customWidth="1"/>
    <col min="29" max="29" width="22.28515625" customWidth="1"/>
    <col min="30" max="30" width="15.28515625" customWidth="1"/>
    <col min="31" max="31" width="13.42578125" bestFit="1" customWidth="1"/>
    <col min="32" max="32" width="8.5703125" customWidth="1"/>
    <col min="33" max="33" width="25.7109375" customWidth="1"/>
    <col min="34" max="34" width="20.28515625" bestFit="1" customWidth="1"/>
    <col min="35" max="35" width="16.42578125" bestFit="1" customWidth="1"/>
    <col min="36" max="36" width="14.140625" customWidth="1"/>
    <col min="37" max="37" width="35.42578125" bestFit="1" customWidth="1"/>
    <col min="38" max="38" width="12.5703125" bestFit="1" customWidth="1"/>
    <col min="39" max="39" width="12.5703125" customWidth="1"/>
    <col min="40" max="40" width="17.42578125" customWidth="1"/>
    <col min="41" max="41" width="19.5703125" bestFit="1" customWidth="1"/>
    <col min="42" max="42" width="31.5703125" customWidth="1"/>
    <col min="43" max="43" width="24.85546875" bestFit="1" customWidth="1"/>
    <col min="47" max="47" width="18.140625" bestFit="1" customWidth="1"/>
    <col min="48" max="53" width="18.140625" customWidth="1"/>
    <col min="54" max="54" width="20.42578125" bestFit="1" customWidth="1"/>
    <col min="55" max="55" width="17.5703125" bestFit="1" customWidth="1"/>
    <col min="56" max="56" width="17.28515625" bestFit="1" customWidth="1"/>
    <col min="57" max="57" width="19.42578125" bestFit="1" customWidth="1"/>
    <col min="58" max="58" width="19.42578125" customWidth="1"/>
    <col min="60" max="60" width="13.42578125" customWidth="1"/>
    <col min="61" max="61" width="17.85546875" bestFit="1" customWidth="1"/>
    <col min="62" max="62" width="18.5703125" bestFit="1" customWidth="1"/>
    <col min="63" max="63" width="49.140625" customWidth="1"/>
    <col min="64" max="64" width="13.42578125" customWidth="1"/>
    <col min="65" max="65" width="15.85546875" bestFit="1" customWidth="1"/>
    <col min="66" max="66" width="14.42578125" bestFit="1" customWidth="1"/>
    <col min="67" max="67" width="15" bestFit="1" customWidth="1"/>
    <col min="68" max="68" width="15.28515625" bestFit="1" customWidth="1"/>
    <col min="69" max="69" width="16.5703125" customWidth="1"/>
    <col min="70" max="70" width="13.42578125" customWidth="1"/>
    <col min="71" max="71" width="17.5703125" bestFit="1" customWidth="1"/>
    <col min="72" max="72" width="17.28515625" bestFit="1" customWidth="1"/>
    <col min="73" max="73" width="19.42578125" bestFit="1" customWidth="1"/>
    <col min="74" max="74" width="18.5703125" bestFit="1" customWidth="1"/>
    <col min="75" max="75" width="12.7109375" bestFit="1" customWidth="1"/>
    <col min="76" max="76" width="18.85546875" bestFit="1" customWidth="1"/>
    <col min="77" max="77" width="18.85546875" customWidth="1"/>
    <col min="78" max="78" width="18.5703125" bestFit="1" customWidth="1"/>
    <col min="79" max="79" width="47.85546875" bestFit="1" customWidth="1"/>
    <col min="80" max="80" width="12.28515625" bestFit="1" customWidth="1"/>
    <col min="81" max="81" width="15.85546875" bestFit="1" customWidth="1"/>
    <col min="82" max="82" width="14.42578125" bestFit="1" customWidth="1"/>
    <col min="83" max="83" width="15" bestFit="1" customWidth="1"/>
    <col min="84" max="84" width="15.28515625" bestFit="1" customWidth="1"/>
    <col min="85" max="85" width="15" bestFit="1" customWidth="1"/>
    <col min="87" max="87" width="12.7109375" bestFit="1" customWidth="1"/>
    <col min="89" max="89" width="11.140625" customWidth="1"/>
    <col min="90" max="90" width="20" customWidth="1"/>
    <col min="91" max="91" width="18.5703125" bestFit="1" customWidth="1"/>
    <col min="92" max="92" width="36" customWidth="1"/>
    <col min="93" max="93" width="13.42578125" customWidth="1"/>
    <col min="94" max="94" width="15.85546875" bestFit="1" customWidth="1"/>
    <col min="95" max="95" width="14.42578125" bestFit="1" customWidth="1"/>
    <col min="96" max="96" width="15" bestFit="1" customWidth="1"/>
    <col min="97" max="97" width="15.28515625" bestFit="1" customWidth="1"/>
    <col min="98" max="98" width="15.7109375" customWidth="1"/>
    <col min="99" max="99" width="13.42578125" customWidth="1"/>
    <col min="100" max="100" width="38.28515625" customWidth="1"/>
    <col min="101" max="101" width="12.7109375" customWidth="1"/>
  </cols>
  <sheetData>
    <row r="1" spans="1:103" x14ac:dyDescent="0.25">
      <c r="A1" t="s">
        <v>0</v>
      </c>
      <c r="B1" t="s">
        <v>1</v>
      </c>
      <c r="C1" t="s">
        <v>2</v>
      </c>
      <c r="D1" t="s">
        <v>3</v>
      </c>
      <c r="E1" s="8" t="s">
        <v>4</v>
      </c>
      <c r="F1" t="s">
        <v>12</v>
      </c>
      <c r="G1" t="s">
        <v>5</v>
      </c>
      <c r="H1" t="s">
        <v>58</v>
      </c>
      <c r="I1" t="s">
        <v>6</v>
      </c>
      <c r="J1" t="s">
        <v>122</v>
      </c>
      <c r="K1" t="s">
        <v>7</v>
      </c>
      <c r="L1" t="s">
        <v>847</v>
      </c>
      <c r="M1" t="s">
        <v>8</v>
      </c>
      <c r="N1" t="s">
        <v>9</v>
      </c>
      <c r="O1" t="s">
        <v>10</v>
      </c>
      <c r="P1" t="s">
        <v>11</v>
      </c>
      <c r="Q1" t="s">
        <v>121</v>
      </c>
      <c r="R1" t="s">
        <v>106</v>
      </c>
      <c r="S1" t="s">
        <v>13</v>
      </c>
      <c r="T1" t="s">
        <v>14</v>
      </c>
      <c r="U1" t="s">
        <v>1757</v>
      </c>
      <c r="V1" t="s">
        <v>1705</v>
      </c>
      <c r="W1" t="s">
        <v>1704</v>
      </c>
      <c r="X1" t="s">
        <v>1706</v>
      </c>
      <c r="Y1" t="s">
        <v>1707</v>
      </c>
      <c r="Z1" t="s">
        <v>1725</v>
      </c>
      <c r="AA1" t="s">
        <v>1726</v>
      </c>
      <c r="AB1" t="s">
        <v>15</v>
      </c>
      <c r="AC1" t="s">
        <v>16</v>
      </c>
      <c r="AD1" t="s">
        <v>17</v>
      </c>
      <c r="AE1" t="s">
        <v>18</v>
      </c>
      <c r="AF1" t="s">
        <v>91</v>
      </c>
      <c r="AG1" t="s">
        <v>19</v>
      </c>
      <c r="AH1" t="s">
        <v>92</v>
      </c>
      <c r="AI1" t="s">
        <v>20</v>
      </c>
      <c r="AJ1" t="s">
        <v>21</v>
      </c>
      <c r="AK1" t="s">
        <v>64</v>
      </c>
      <c r="AL1" t="s">
        <v>22</v>
      </c>
      <c r="AM1" t="s">
        <v>65</v>
      </c>
      <c r="AN1" t="s">
        <v>67</v>
      </c>
      <c r="AO1" t="s">
        <v>23</v>
      </c>
      <c r="AP1" t="s">
        <v>114</v>
      </c>
      <c r="AQ1" t="s">
        <v>112</v>
      </c>
      <c r="AR1" t="s">
        <v>111</v>
      </c>
      <c r="AS1" t="s">
        <v>110</v>
      </c>
      <c r="AT1" t="s">
        <v>109</v>
      </c>
      <c r="AU1" t="s">
        <v>113</v>
      </c>
      <c r="AV1" t="s">
        <v>115</v>
      </c>
      <c r="AW1" t="s">
        <v>116</v>
      </c>
      <c r="AX1" t="s">
        <v>117</v>
      </c>
      <c r="AY1" t="s">
        <v>118</v>
      </c>
      <c r="AZ1" t="s">
        <v>119</v>
      </c>
      <c r="BA1" t="s">
        <v>120</v>
      </c>
      <c r="BB1" t="s">
        <v>24</v>
      </c>
      <c r="BC1" t="s">
        <v>25</v>
      </c>
      <c r="BD1" t="s">
        <v>68</v>
      </c>
      <c r="BE1" t="s">
        <v>69</v>
      </c>
      <c r="BF1" t="s">
        <v>72</v>
      </c>
      <c r="BG1" t="s">
        <v>26</v>
      </c>
      <c r="BH1" t="s">
        <v>33</v>
      </c>
      <c r="BI1" t="s">
        <v>97</v>
      </c>
      <c r="BJ1" t="s">
        <v>30</v>
      </c>
      <c r="BK1" t="s">
        <v>27</v>
      </c>
      <c r="BL1" t="s">
        <v>34</v>
      </c>
      <c r="BM1" t="s">
        <v>35</v>
      </c>
      <c r="BN1" t="s">
        <v>36</v>
      </c>
      <c r="BO1" t="s">
        <v>74</v>
      </c>
      <c r="BP1" t="s">
        <v>75</v>
      </c>
      <c r="BQ1" t="s">
        <v>37</v>
      </c>
      <c r="BR1" t="s">
        <v>38</v>
      </c>
      <c r="BS1" t="s">
        <v>28</v>
      </c>
      <c r="BT1" t="s">
        <v>86</v>
      </c>
      <c r="BU1" t="s">
        <v>87</v>
      </c>
      <c r="BV1" t="s">
        <v>88</v>
      </c>
      <c r="BW1" t="s">
        <v>29</v>
      </c>
      <c r="BX1" t="s">
        <v>39</v>
      </c>
      <c r="BY1" t="s">
        <v>99</v>
      </c>
      <c r="BZ1" t="s">
        <v>31</v>
      </c>
      <c r="CA1" t="s">
        <v>32</v>
      </c>
      <c r="CB1" t="s">
        <v>40</v>
      </c>
      <c r="CC1" t="s">
        <v>41</v>
      </c>
      <c r="CD1" t="s">
        <v>42</v>
      </c>
      <c r="CE1" t="s">
        <v>81</v>
      </c>
      <c r="CF1" t="s">
        <v>82</v>
      </c>
      <c r="CG1" t="s">
        <v>43</v>
      </c>
      <c r="CH1" t="s">
        <v>44</v>
      </c>
      <c r="CI1" t="s">
        <v>46</v>
      </c>
      <c r="CJ1" t="s">
        <v>47</v>
      </c>
      <c r="CK1" t="s">
        <v>50</v>
      </c>
      <c r="CL1" t="s">
        <v>100</v>
      </c>
      <c r="CM1" t="s">
        <v>48</v>
      </c>
      <c r="CN1" t="s">
        <v>49</v>
      </c>
      <c r="CO1" t="s">
        <v>51</v>
      </c>
      <c r="CP1" t="s">
        <v>52</v>
      </c>
      <c r="CQ1" t="s">
        <v>53</v>
      </c>
      <c r="CR1" t="s">
        <v>54</v>
      </c>
      <c r="CS1" t="s">
        <v>55</v>
      </c>
      <c r="CT1" t="s">
        <v>56</v>
      </c>
      <c r="CU1" t="s">
        <v>57</v>
      </c>
      <c r="CV1" t="s">
        <v>45</v>
      </c>
      <c r="CW1" t="s">
        <v>210</v>
      </c>
    </row>
    <row r="2" spans="1:103" x14ac:dyDescent="0.25">
      <c r="A2" t="s">
        <v>124</v>
      </c>
      <c r="B2" t="s">
        <v>125</v>
      </c>
      <c r="C2" s="1">
        <v>45883</v>
      </c>
      <c r="D2" t="s">
        <v>126</v>
      </c>
      <c r="E2" s="6">
        <v>42939396</v>
      </c>
      <c r="F2">
        <v>27</v>
      </c>
      <c r="G2">
        <v>27</v>
      </c>
      <c r="H2" t="s">
        <v>127</v>
      </c>
      <c r="I2" t="s">
        <v>127</v>
      </c>
      <c r="J2" t="s">
        <v>128</v>
      </c>
      <c r="K2" s="1">
        <v>23182</v>
      </c>
      <c r="L2" s="15">
        <f>DATEDIF(K2, DATE(2025,8,29), "Y")</f>
        <v>62</v>
      </c>
      <c r="M2" t="s">
        <v>59</v>
      </c>
      <c r="N2" t="s">
        <v>108</v>
      </c>
      <c r="O2" t="s">
        <v>60</v>
      </c>
      <c r="P2" t="s">
        <v>61</v>
      </c>
      <c r="Q2" t="s">
        <v>61</v>
      </c>
      <c r="R2" t="s">
        <v>62</v>
      </c>
      <c r="S2" t="s">
        <v>61</v>
      </c>
      <c r="T2" t="s">
        <v>130</v>
      </c>
      <c r="U2" t="s">
        <v>63</v>
      </c>
      <c r="V2" t="s">
        <v>66</v>
      </c>
      <c r="W2" t="s">
        <v>66</v>
      </c>
      <c r="X2" t="s">
        <v>66</v>
      </c>
      <c r="Y2" t="s">
        <v>66</v>
      </c>
      <c r="Z2" t="s">
        <v>66</v>
      </c>
      <c r="AA2" t="s">
        <v>66</v>
      </c>
      <c r="AB2" t="s">
        <v>61</v>
      </c>
      <c r="AC2" t="s">
        <v>131</v>
      </c>
      <c r="AD2">
        <v>4</v>
      </c>
      <c r="AE2">
        <v>3</v>
      </c>
      <c r="AF2" t="s">
        <v>61</v>
      </c>
      <c r="AG2" t="s">
        <v>132</v>
      </c>
      <c r="AH2" t="s">
        <v>63</v>
      </c>
      <c r="AI2" t="s">
        <v>66</v>
      </c>
      <c r="AJ2" t="s">
        <v>63</v>
      </c>
      <c r="AK2" t="s">
        <v>153</v>
      </c>
      <c r="AL2" t="s">
        <v>61</v>
      </c>
      <c r="AM2" t="s">
        <v>66</v>
      </c>
      <c r="AN2">
        <v>1</v>
      </c>
      <c r="AO2" t="s">
        <v>61</v>
      </c>
      <c r="AP2" t="s">
        <v>134</v>
      </c>
      <c r="AQ2" t="s">
        <v>133</v>
      </c>
      <c r="AR2" t="s">
        <v>63</v>
      </c>
      <c r="AS2" t="s">
        <v>63</v>
      </c>
      <c r="AT2" t="s">
        <v>61</v>
      </c>
      <c r="AU2">
        <v>5</v>
      </c>
      <c r="AV2" t="s">
        <v>66</v>
      </c>
      <c r="AW2" t="s">
        <v>66</v>
      </c>
      <c r="AX2" t="s">
        <v>66</v>
      </c>
      <c r="AY2" t="s">
        <v>66</v>
      </c>
      <c r="AZ2" t="s">
        <v>66</v>
      </c>
      <c r="BA2" t="s">
        <v>66</v>
      </c>
      <c r="BB2" t="s">
        <v>135</v>
      </c>
      <c r="BC2" t="s">
        <v>107</v>
      </c>
      <c r="BD2">
        <v>4</v>
      </c>
      <c r="BE2" s="2" t="s">
        <v>136</v>
      </c>
      <c r="BF2" t="s">
        <v>104</v>
      </c>
      <c r="BG2" t="s">
        <v>96</v>
      </c>
      <c r="BH2" t="s">
        <v>63</v>
      </c>
      <c r="BI2" t="s">
        <v>137</v>
      </c>
      <c r="BJ2" s="3" t="s">
        <v>138</v>
      </c>
      <c r="BK2" t="s">
        <v>139</v>
      </c>
      <c r="BL2" s="4">
        <v>7</v>
      </c>
      <c r="BM2" s="4">
        <v>4</v>
      </c>
      <c r="BN2" s="4" t="s">
        <v>76</v>
      </c>
      <c r="BO2" t="s">
        <v>140</v>
      </c>
      <c r="BP2">
        <v>6000</v>
      </c>
      <c r="BQ2" t="s">
        <v>78</v>
      </c>
      <c r="BR2" s="4" t="s">
        <v>166</v>
      </c>
      <c r="BS2" t="s">
        <v>70</v>
      </c>
      <c r="BT2" s="4">
        <v>3</v>
      </c>
      <c r="BU2" t="s">
        <v>136</v>
      </c>
      <c r="BV2" t="s">
        <v>104</v>
      </c>
      <c r="BW2" t="s">
        <v>71</v>
      </c>
      <c r="BX2" t="s">
        <v>63</v>
      </c>
      <c r="BY2" t="s">
        <v>141</v>
      </c>
      <c r="BZ2" s="4" t="s">
        <v>142</v>
      </c>
      <c r="CA2" t="s">
        <v>147</v>
      </c>
      <c r="CB2">
        <v>30</v>
      </c>
      <c r="CC2" t="s">
        <v>143</v>
      </c>
      <c r="CD2" s="3" t="s">
        <v>144</v>
      </c>
      <c r="CE2" t="s">
        <v>145</v>
      </c>
      <c r="CF2">
        <v>1400</v>
      </c>
      <c r="CG2" t="s">
        <v>78</v>
      </c>
      <c r="CH2" t="s">
        <v>146</v>
      </c>
      <c r="CI2" t="s">
        <v>63</v>
      </c>
      <c r="CJ2" t="s">
        <v>66</v>
      </c>
      <c r="CK2" t="s">
        <v>66</v>
      </c>
      <c r="CL2" t="s">
        <v>66</v>
      </c>
      <c r="CM2" t="s">
        <v>66</v>
      </c>
      <c r="CN2" t="s">
        <v>66</v>
      </c>
      <c r="CO2" t="s">
        <v>66</v>
      </c>
      <c r="CP2" t="s">
        <v>66</v>
      </c>
      <c r="CQ2" t="s">
        <v>66</v>
      </c>
      <c r="CR2" t="s">
        <v>66</v>
      </c>
      <c r="CS2" t="s">
        <v>66</v>
      </c>
      <c r="CT2" t="s">
        <v>66</v>
      </c>
      <c r="CU2" t="s">
        <v>66</v>
      </c>
      <c r="CV2" t="s">
        <v>148</v>
      </c>
      <c r="CW2" t="s">
        <v>237</v>
      </c>
    </row>
    <row r="3" spans="1:103" x14ac:dyDescent="0.25">
      <c r="A3" t="s">
        <v>149</v>
      </c>
      <c r="B3" t="s">
        <v>125</v>
      </c>
      <c r="C3" s="1">
        <v>45883</v>
      </c>
      <c r="D3" t="s">
        <v>151</v>
      </c>
      <c r="E3" s="7" t="s">
        <v>150</v>
      </c>
      <c r="F3">
        <v>34</v>
      </c>
      <c r="G3">
        <v>34</v>
      </c>
      <c r="H3" t="s">
        <v>127</v>
      </c>
      <c r="I3" t="s">
        <v>127</v>
      </c>
      <c r="J3" t="s">
        <v>241</v>
      </c>
      <c r="K3" s="1">
        <v>24667</v>
      </c>
      <c r="L3" s="15">
        <f t="shared" ref="L3:L43" si="0">DATEDIF(K3, DATE(2025,8,29), "Y")</f>
        <v>58</v>
      </c>
      <c r="M3" t="s">
        <v>59</v>
      </c>
      <c r="N3" t="s">
        <v>108</v>
      </c>
      <c r="O3" t="s">
        <v>60</v>
      </c>
      <c r="P3" t="s">
        <v>61</v>
      </c>
      <c r="Q3" t="s">
        <v>61</v>
      </c>
      <c r="R3" t="s">
        <v>62</v>
      </c>
      <c r="S3" t="s">
        <v>63</v>
      </c>
      <c r="T3" t="s">
        <v>66</v>
      </c>
      <c r="U3" t="s">
        <v>63</v>
      </c>
      <c r="V3" t="s">
        <v>66</v>
      </c>
      <c r="W3" t="s">
        <v>66</v>
      </c>
      <c r="X3" t="s">
        <v>66</v>
      </c>
      <c r="Y3" t="s">
        <v>66</v>
      </c>
      <c r="Z3" t="s">
        <v>66</v>
      </c>
      <c r="AA3" t="s">
        <v>66</v>
      </c>
      <c r="AB3" t="s">
        <v>63</v>
      </c>
      <c r="AC3" t="s">
        <v>66</v>
      </c>
      <c r="AD3">
        <v>1</v>
      </c>
      <c r="AE3">
        <v>3</v>
      </c>
      <c r="AF3" t="s">
        <v>61</v>
      </c>
      <c r="AG3" t="s">
        <v>152</v>
      </c>
      <c r="AH3" t="s">
        <v>61</v>
      </c>
      <c r="AI3" t="s">
        <v>154</v>
      </c>
      <c r="AJ3" t="s">
        <v>61</v>
      </c>
      <c r="AK3" t="s">
        <v>66</v>
      </c>
      <c r="AL3" t="s">
        <v>63</v>
      </c>
      <c r="AM3" t="s">
        <v>155</v>
      </c>
      <c r="AN3">
        <v>2</v>
      </c>
      <c r="AO3" t="s">
        <v>61</v>
      </c>
      <c r="AP3" t="s">
        <v>157</v>
      </c>
      <c r="AQ3" t="s">
        <v>158</v>
      </c>
      <c r="AR3" t="s">
        <v>63</v>
      </c>
      <c r="AS3" t="s">
        <v>61</v>
      </c>
      <c r="AT3" t="s">
        <v>61</v>
      </c>
      <c r="AU3">
        <v>5</v>
      </c>
      <c r="AV3" t="s">
        <v>156</v>
      </c>
      <c r="AW3" t="s">
        <v>159</v>
      </c>
      <c r="AX3" t="s">
        <v>63</v>
      </c>
      <c r="AY3" t="s">
        <v>63</v>
      </c>
      <c r="AZ3" t="s">
        <v>61</v>
      </c>
      <c r="BA3">
        <v>6</v>
      </c>
      <c r="BB3" t="s">
        <v>160</v>
      </c>
      <c r="BC3" t="s">
        <v>161</v>
      </c>
      <c r="BD3">
        <v>4</v>
      </c>
      <c r="BE3" t="s">
        <v>162</v>
      </c>
      <c r="BF3" t="s">
        <v>104</v>
      </c>
      <c r="BG3" t="s">
        <v>163</v>
      </c>
      <c r="BH3" t="s">
        <v>63</v>
      </c>
      <c r="BI3" t="s">
        <v>167</v>
      </c>
      <c r="BJ3" s="3">
        <v>24</v>
      </c>
      <c r="BK3" t="s">
        <v>164</v>
      </c>
      <c r="BL3" s="4" t="s">
        <v>77</v>
      </c>
      <c r="BM3" s="4" t="s">
        <v>93</v>
      </c>
      <c r="BN3" s="4" t="s">
        <v>93</v>
      </c>
      <c r="BO3">
        <v>2000</v>
      </c>
      <c r="BP3">
        <v>8000</v>
      </c>
      <c r="BQ3" t="s">
        <v>78</v>
      </c>
      <c r="BR3" s="4" t="s">
        <v>165</v>
      </c>
      <c r="BS3" t="s">
        <v>107</v>
      </c>
      <c r="BT3" s="4">
        <v>4</v>
      </c>
      <c r="BU3" t="s">
        <v>162</v>
      </c>
      <c r="BV3" t="s">
        <v>104</v>
      </c>
      <c r="BW3" t="s">
        <v>96</v>
      </c>
      <c r="BX3" t="s">
        <v>63</v>
      </c>
      <c r="BY3" t="s">
        <v>167</v>
      </c>
      <c r="BZ3" s="4" t="s">
        <v>168</v>
      </c>
      <c r="CA3" t="s">
        <v>169</v>
      </c>
      <c r="CB3" s="3" t="s">
        <v>170</v>
      </c>
      <c r="CC3">
        <v>3</v>
      </c>
      <c r="CD3" s="3" t="s">
        <v>171</v>
      </c>
      <c r="CE3" t="s">
        <v>172</v>
      </c>
      <c r="CF3" t="s">
        <v>173</v>
      </c>
      <c r="CG3" t="s">
        <v>78</v>
      </c>
      <c r="CH3">
        <v>5</v>
      </c>
      <c r="CI3" t="s">
        <v>70</v>
      </c>
      <c r="CJ3" t="s">
        <v>71</v>
      </c>
      <c r="CK3" t="s">
        <v>63</v>
      </c>
      <c r="CL3" t="s">
        <v>174</v>
      </c>
      <c r="CM3" s="9" t="s">
        <v>142</v>
      </c>
      <c r="CN3" t="s">
        <v>433</v>
      </c>
      <c r="CO3" t="s">
        <v>175</v>
      </c>
      <c r="CP3">
        <v>72</v>
      </c>
      <c r="CQ3">
        <v>10</v>
      </c>
      <c r="CR3" t="s">
        <v>176</v>
      </c>
      <c r="CS3" t="s">
        <v>177</v>
      </c>
      <c r="CT3" t="s">
        <v>78</v>
      </c>
      <c r="CU3" s="3">
        <v>30</v>
      </c>
      <c r="CV3" t="s">
        <v>531</v>
      </c>
      <c r="CW3" t="s">
        <v>238</v>
      </c>
      <c r="CY3" t="s">
        <v>1690</v>
      </c>
    </row>
    <row r="4" spans="1:103" x14ac:dyDescent="0.25">
      <c r="A4" t="s">
        <v>178</v>
      </c>
      <c r="B4" t="s">
        <v>125</v>
      </c>
      <c r="C4" s="1">
        <v>45884</v>
      </c>
      <c r="D4" t="s">
        <v>209</v>
      </c>
      <c r="E4" s="6">
        <v>80006544</v>
      </c>
      <c r="F4">
        <v>18</v>
      </c>
      <c r="G4">
        <v>16</v>
      </c>
      <c r="H4" t="s">
        <v>127</v>
      </c>
      <c r="I4" t="s">
        <v>127</v>
      </c>
      <c r="J4" t="s">
        <v>211</v>
      </c>
      <c r="K4" s="1">
        <v>28344</v>
      </c>
      <c r="L4" s="15">
        <f t="shared" si="0"/>
        <v>48</v>
      </c>
      <c r="M4" t="s">
        <v>59</v>
      </c>
      <c r="N4" t="s">
        <v>108</v>
      </c>
      <c r="O4" t="s">
        <v>60</v>
      </c>
      <c r="P4" t="s">
        <v>61</v>
      </c>
      <c r="Q4" t="s">
        <v>212</v>
      </c>
      <c r="R4" t="s">
        <v>129</v>
      </c>
      <c r="S4" t="s">
        <v>61</v>
      </c>
      <c r="T4" t="s">
        <v>130</v>
      </c>
      <c r="U4" t="s">
        <v>63</v>
      </c>
      <c r="V4" t="s">
        <v>66</v>
      </c>
      <c r="W4" t="s">
        <v>66</v>
      </c>
      <c r="X4" t="s">
        <v>66</v>
      </c>
      <c r="Y4" t="s">
        <v>66</v>
      </c>
      <c r="Z4" t="s">
        <v>66</v>
      </c>
      <c r="AA4" t="s">
        <v>66</v>
      </c>
      <c r="AB4" t="s">
        <v>61</v>
      </c>
      <c r="AC4" t="s">
        <v>213</v>
      </c>
      <c r="AD4">
        <v>3</v>
      </c>
      <c r="AE4">
        <v>2</v>
      </c>
      <c r="AF4" t="s">
        <v>61</v>
      </c>
      <c r="AG4" t="s">
        <v>214</v>
      </c>
      <c r="AH4" t="s">
        <v>63</v>
      </c>
      <c r="AI4" t="s">
        <v>66</v>
      </c>
      <c r="AJ4" t="s">
        <v>61</v>
      </c>
      <c r="AK4" t="s">
        <v>66</v>
      </c>
      <c r="AL4" t="s">
        <v>61</v>
      </c>
      <c r="AM4" t="s">
        <v>66</v>
      </c>
      <c r="AN4" t="s">
        <v>93</v>
      </c>
      <c r="AO4" t="s">
        <v>63</v>
      </c>
      <c r="AP4" t="s">
        <v>215</v>
      </c>
      <c r="AQ4" t="s">
        <v>93</v>
      </c>
      <c r="AR4" t="s">
        <v>61</v>
      </c>
      <c r="AS4" t="s">
        <v>63</v>
      </c>
      <c r="AT4" t="s">
        <v>61</v>
      </c>
      <c r="AU4">
        <v>8</v>
      </c>
      <c r="AV4" t="s">
        <v>217</v>
      </c>
      <c r="AW4" t="s">
        <v>93</v>
      </c>
      <c r="AX4" t="s">
        <v>61</v>
      </c>
      <c r="AY4" t="s">
        <v>63</v>
      </c>
      <c r="AZ4" t="s">
        <v>63</v>
      </c>
      <c r="BA4">
        <v>8</v>
      </c>
      <c r="BB4" t="s">
        <v>218</v>
      </c>
      <c r="BC4" t="s">
        <v>219</v>
      </c>
      <c r="BD4">
        <v>4</v>
      </c>
      <c r="BE4" t="s">
        <v>175</v>
      </c>
      <c r="BF4" t="s">
        <v>104</v>
      </c>
      <c r="BG4" t="s">
        <v>79</v>
      </c>
      <c r="BH4" t="s">
        <v>220</v>
      </c>
      <c r="BI4" t="s">
        <v>101</v>
      </c>
      <c r="BJ4" s="3" t="s">
        <v>221</v>
      </c>
      <c r="BK4" t="s">
        <v>226</v>
      </c>
      <c r="BL4" s="4" t="s">
        <v>85</v>
      </c>
      <c r="BM4" s="4" t="s">
        <v>77</v>
      </c>
      <c r="BN4" s="4" t="s">
        <v>222</v>
      </c>
      <c r="BO4" t="s">
        <v>223</v>
      </c>
      <c r="BP4">
        <v>10000</v>
      </c>
      <c r="BQ4" t="s">
        <v>78</v>
      </c>
      <c r="BR4" s="4" t="s">
        <v>84</v>
      </c>
      <c r="BS4" t="s">
        <v>70</v>
      </c>
      <c r="BT4" s="4">
        <v>3</v>
      </c>
      <c r="BU4" t="s">
        <v>175</v>
      </c>
      <c r="BV4" t="s">
        <v>104</v>
      </c>
      <c r="BW4" t="s">
        <v>71</v>
      </c>
      <c r="BX4" t="s">
        <v>63</v>
      </c>
      <c r="BY4" s="5" t="s">
        <v>224</v>
      </c>
      <c r="BZ4" s="4" t="s">
        <v>225</v>
      </c>
      <c r="CA4" t="s">
        <v>331</v>
      </c>
      <c r="CB4" t="s">
        <v>227</v>
      </c>
      <c r="CC4">
        <v>72</v>
      </c>
      <c r="CD4" s="3" t="s">
        <v>84</v>
      </c>
      <c r="CE4" t="s">
        <v>228</v>
      </c>
      <c r="CF4" t="s">
        <v>229</v>
      </c>
      <c r="CG4" t="s">
        <v>78</v>
      </c>
      <c r="CH4" t="s">
        <v>230</v>
      </c>
      <c r="CI4" t="s">
        <v>231</v>
      </c>
      <c r="CJ4" t="s">
        <v>96</v>
      </c>
      <c r="CK4" t="s">
        <v>63</v>
      </c>
      <c r="CL4" t="s">
        <v>101</v>
      </c>
      <c r="CM4" t="s">
        <v>232</v>
      </c>
      <c r="CN4" t="s">
        <v>233</v>
      </c>
      <c r="CO4">
        <v>7</v>
      </c>
      <c r="CP4">
        <v>2</v>
      </c>
      <c r="CQ4" t="s">
        <v>234</v>
      </c>
      <c r="CR4" t="s">
        <v>235</v>
      </c>
      <c r="CS4" t="s">
        <v>236</v>
      </c>
      <c r="CT4" t="s">
        <v>78</v>
      </c>
      <c r="CU4" s="3" t="s">
        <v>263</v>
      </c>
      <c r="CV4" t="s">
        <v>532</v>
      </c>
      <c r="CW4" t="s">
        <v>239</v>
      </c>
      <c r="CY4" t="s">
        <v>1691</v>
      </c>
    </row>
    <row r="5" spans="1:103" x14ac:dyDescent="0.25">
      <c r="A5" t="s">
        <v>179</v>
      </c>
      <c r="B5" t="s">
        <v>125</v>
      </c>
      <c r="C5" s="1">
        <v>45884</v>
      </c>
      <c r="D5" t="s">
        <v>240</v>
      </c>
      <c r="E5" s="6">
        <v>42953858</v>
      </c>
      <c r="F5">
        <v>22</v>
      </c>
      <c r="G5">
        <v>22</v>
      </c>
      <c r="H5" t="s">
        <v>127</v>
      </c>
      <c r="I5" t="s">
        <v>127</v>
      </c>
      <c r="J5" t="s">
        <v>242</v>
      </c>
      <c r="K5" s="1">
        <v>19889</v>
      </c>
      <c r="L5" s="15">
        <f t="shared" si="0"/>
        <v>71</v>
      </c>
      <c r="M5" t="s">
        <v>59</v>
      </c>
      <c r="N5" t="s">
        <v>108</v>
      </c>
      <c r="O5" t="s">
        <v>60</v>
      </c>
      <c r="P5" t="s">
        <v>61</v>
      </c>
      <c r="Q5" t="s">
        <v>212</v>
      </c>
      <c r="R5" t="s">
        <v>62</v>
      </c>
      <c r="S5" t="s">
        <v>61</v>
      </c>
      <c r="T5" t="s">
        <v>130</v>
      </c>
      <c r="U5" t="s">
        <v>63</v>
      </c>
      <c r="V5" t="s">
        <v>66</v>
      </c>
      <c r="W5" t="s">
        <v>66</v>
      </c>
      <c r="X5" t="s">
        <v>66</v>
      </c>
      <c r="Y5" t="s">
        <v>66</v>
      </c>
      <c r="Z5" t="s">
        <v>66</v>
      </c>
      <c r="AA5" t="s">
        <v>66</v>
      </c>
      <c r="AB5" t="s">
        <v>63</v>
      </c>
      <c r="AC5" t="s">
        <v>66</v>
      </c>
      <c r="AD5">
        <v>1</v>
      </c>
      <c r="AE5">
        <v>1</v>
      </c>
      <c r="AF5" t="s">
        <v>61</v>
      </c>
      <c r="AG5" t="s">
        <v>243</v>
      </c>
      <c r="AH5" t="s">
        <v>63</v>
      </c>
      <c r="AI5" t="s">
        <v>66</v>
      </c>
      <c r="AJ5" t="s">
        <v>61</v>
      </c>
      <c r="AK5" t="s">
        <v>66</v>
      </c>
      <c r="AL5" t="s">
        <v>61</v>
      </c>
      <c r="AM5" t="s">
        <v>66</v>
      </c>
      <c r="AN5">
        <v>1</v>
      </c>
      <c r="AO5" t="s">
        <v>61</v>
      </c>
      <c r="AP5" t="s">
        <v>244</v>
      </c>
      <c r="AQ5" t="s">
        <v>245</v>
      </c>
      <c r="AR5" t="s">
        <v>63</v>
      </c>
      <c r="AS5" t="s">
        <v>63</v>
      </c>
      <c r="AT5" t="s">
        <v>61</v>
      </c>
      <c r="AU5">
        <v>6.19</v>
      </c>
      <c r="AV5" t="s">
        <v>66</v>
      </c>
      <c r="AW5" t="s">
        <v>66</v>
      </c>
      <c r="AX5" t="s">
        <v>66</v>
      </c>
      <c r="AY5" t="s">
        <v>66</v>
      </c>
      <c r="AZ5" t="s">
        <v>66</v>
      </c>
      <c r="BA5" t="s">
        <v>66</v>
      </c>
      <c r="BB5" t="s">
        <v>246</v>
      </c>
      <c r="BC5" t="s">
        <v>107</v>
      </c>
      <c r="BD5">
        <v>4</v>
      </c>
      <c r="BE5" t="s">
        <v>247</v>
      </c>
      <c r="BF5" t="s">
        <v>104</v>
      </c>
      <c r="BG5" t="s">
        <v>96</v>
      </c>
      <c r="BH5" t="s">
        <v>63</v>
      </c>
      <c r="BI5" t="s">
        <v>248</v>
      </c>
      <c r="BJ5" s="3" t="s">
        <v>175</v>
      </c>
      <c r="BK5" t="s">
        <v>249</v>
      </c>
      <c r="BL5" s="4" t="s">
        <v>225</v>
      </c>
      <c r="BM5" s="4" t="s">
        <v>165</v>
      </c>
      <c r="BN5" s="4" t="s">
        <v>222</v>
      </c>
      <c r="BO5" s="4" t="s">
        <v>250</v>
      </c>
      <c r="BP5" s="4" t="s">
        <v>251</v>
      </c>
      <c r="BQ5" t="s">
        <v>78</v>
      </c>
      <c r="BR5" s="4" t="s">
        <v>252</v>
      </c>
      <c r="BS5" s="4" t="s">
        <v>219</v>
      </c>
      <c r="BT5" s="4">
        <v>4</v>
      </c>
      <c r="BU5" s="4" t="s">
        <v>247</v>
      </c>
      <c r="BV5" t="s">
        <v>104</v>
      </c>
      <c r="BW5" s="4" t="s">
        <v>79</v>
      </c>
      <c r="BX5" t="s">
        <v>253</v>
      </c>
      <c r="BY5" s="4" t="s">
        <v>254</v>
      </c>
      <c r="BZ5" s="4" t="s">
        <v>225</v>
      </c>
      <c r="CA5" t="s">
        <v>255</v>
      </c>
      <c r="CB5" s="3" t="s">
        <v>170</v>
      </c>
      <c r="CC5" s="3" t="s">
        <v>225</v>
      </c>
      <c r="CD5" s="3" t="s">
        <v>170</v>
      </c>
      <c r="CE5" s="3" t="s">
        <v>94</v>
      </c>
      <c r="CF5" s="3" t="s">
        <v>256</v>
      </c>
      <c r="CG5" t="s">
        <v>78</v>
      </c>
      <c r="CH5" s="3" t="s">
        <v>77</v>
      </c>
      <c r="CI5" t="s">
        <v>70</v>
      </c>
      <c r="CJ5" t="s">
        <v>71</v>
      </c>
      <c r="CK5" t="s">
        <v>63</v>
      </c>
      <c r="CL5" s="3" t="s">
        <v>257</v>
      </c>
      <c r="CM5" s="3" t="s">
        <v>258</v>
      </c>
      <c r="CN5" t="s">
        <v>432</v>
      </c>
      <c r="CO5" s="3" t="s">
        <v>259</v>
      </c>
      <c r="CP5" s="3" t="s">
        <v>260</v>
      </c>
      <c r="CQ5" s="3" t="s">
        <v>261</v>
      </c>
      <c r="CR5" s="3" t="s">
        <v>94</v>
      </c>
      <c r="CS5" s="3" t="s">
        <v>262</v>
      </c>
      <c r="CT5" t="s">
        <v>78</v>
      </c>
      <c r="CU5" s="3" t="s">
        <v>168</v>
      </c>
      <c r="CV5" t="s">
        <v>533</v>
      </c>
      <c r="CW5" s="4" t="s">
        <v>469</v>
      </c>
      <c r="CY5" t="s">
        <v>1692</v>
      </c>
    </row>
    <row r="6" spans="1:103" x14ac:dyDescent="0.25">
      <c r="A6" t="s">
        <v>180</v>
      </c>
      <c r="B6" t="s">
        <v>125</v>
      </c>
      <c r="C6" s="1">
        <v>45884</v>
      </c>
      <c r="D6" t="s">
        <v>264</v>
      </c>
      <c r="E6" s="6">
        <v>41845641</v>
      </c>
      <c r="F6">
        <v>20</v>
      </c>
      <c r="G6">
        <v>20</v>
      </c>
      <c r="H6" t="s">
        <v>127</v>
      </c>
      <c r="I6" t="s">
        <v>127</v>
      </c>
      <c r="J6" t="s">
        <v>127</v>
      </c>
      <c r="K6" s="1">
        <v>30430</v>
      </c>
      <c r="L6" s="15">
        <f t="shared" si="0"/>
        <v>42</v>
      </c>
      <c r="M6" t="s">
        <v>59</v>
      </c>
      <c r="N6" t="s">
        <v>108</v>
      </c>
      <c r="O6" t="s">
        <v>90</v>
      </c>
      <c r="P6" t="s">
        <v>61</v>
      </c>
      <c r="Q6" t="s">
        <v>61</v>
      </c>
      <c r="R6" t="s">
        <v>62</v>
      </c>
      <c r="S6" t="s">
        <v>61</v>
      </c>
      <c r="T6" t="s">
        <v>130</v>
      </c>
      <c r="U6" t="s">
        <v>63</v>
      </c>
      <c r="V6" t="s">
        <v>66</v>
      </c>
      <c r="W6" t="s">
        <v>66</v>
      </c>
      <c r="X6" t="s">
        <v>66</v>
      </c>
      <c r="Y6" t="s">
        <v>66</v>
      </c>
      <c r="Z6" t="s">
        <v>66</v>
      </c>
      <c r="AA6" t="s">
        <v>66</v>
      </c>
      <c r="AB6" t="s">
        <v>61</v>
      </c>
      <c r="AC6" t="s">
        <v>265</v>
      </c>
      <c r="AD6">
        <v>2</v>
      </c>
      <c r="AE6">
        <v>3</v>
      </c>
      <c r="AF6" t="s">
        <v>61</v>
      </c>
      <c r="AG6" t="s">
        <v>266</v>
      </c>
      <c r="AH6" t="s">
        <v>61</v>
      </c>
      <c r="AI6" t="s">
        <v>267</v>
      </c>
      <c r="AJ6" t="s">
        <v>61</v>
      </c>
      <c r="AK6" t="s">
        <v>66</v>
      </c>
      <c r="AL6" t="s">
        <v>61</v>
      </c>
      <c r="AM6" t="s">
        <v>66</v>
      </c>
      <c r="AN6" t="s">
        <v>268</v>
      </c>
      <c r="AO6" t="s">
        <v>61</v>
      </c>
      <c r="AP6" t="s">
        <v>269</v>
      </c>
      <c r="AQ6" t="s">
        <v>270</v>
      </c>
      <c r="AR6" t="s">
        <v>63</v>
      </c>
      <c r="AS6" t="s">
        <v>63</v>
      </c>
      <c r="AT6" t="s">
        <v>61</v>
      </c>
      <c r="AU6">
        <v>8</v>
      </c>
      <c r="AV6" t="s">
        <v>66</v>
      </c>
      <c r="AW6" t="s">
        <v>66</v>
      </c>
      <c r="AX6" t="s">
        <v>66</v>
      </c>
      <c r="AY6" t="s">
        <v>66</v>
      </c>
      <c r="AZ6" t="s">
        <v>66</v>
      </c>
      <c r="BA6" t="s">
        <v>66</v>
      </c>
      <c r="BB6" t="s">
        <v>160</v>
      </c>
      <c r="BC6" t="s">
        <v>161</v>
      </c>
      <c r="BD6" s="4" t="s">
        <v>77</v>
      </c>
      <c r="BE6" t="s">
        <v>271</v>
      </c>
      <c r="BF6" t="s">
        <v>104</v>
      </c>
      <c r="BG6" t="s">
        <v>163</v>
      </c>
      <c r="BH6" t="s">
        <v>63</v>
      </c>
      <c r="BI6" t="s">
        <v>167</v>
      </c>
      <c r="BJ6" s="3" t="s">
        <v>272</v>
      </c>
      <c r="BK6" t="s">
        <v>273</v>
      </c>
      <c r="BL6" s="4" t="s">
        <v>274</v>
      </c>
      <c r="BM6" s="4" t="s">
        <v>93</v>
      </c>
      <c r="BN6" s="4" t="s">
        <v>93</v>
      </c>
      <c r="BO6" s="4" t="s">
        <v>94</v>
      </c>
      <c r="BP6" s="4" t="s">
        <v>275</v>
      </c>
      <c r="BQ6" t="s">
        <v>78</v>
      </c>
      <c r="BR6" s="4" t="s">
        <v>276</v>
      </c>
      <c r="BS6" t="s">
        <v>1728</v>
      </c>
      <c r="BT6" s="4">
        <v>3</v>
      </c>
      <c r="BU6" s="4" t="s">
        <v>271</v>
      </c>
      <c r="BV6" t="s">
        <v>104</v>
      </c>
      <c r="BW6" t="s">
        <v>96</v>
      </c>
      <c r="BX6" t="s">
        <v>63</v>
      </c>
      <c r="BY6" t="s">
        <v>167</v>
      </c>
      <c r="BZ6" s="4" t="s">
        <v>277</v>
      </c>
      <c r="CA6" t="s">
        <v>278</v>
      </c>
      <c r="CB6" s="3" t="s">
        <v>77</v>
      </c>
      <c r="CC6" t="s">
        <v>93</v>
      </c>
      <c r="CD6" t="s">
        <v>93</v>
      </c>
      <c r="CE6" s="3" t="s">
        <v>281</v>
      </c>
      <c r="CF6" s="3" t="s">
        <v>282</v>
      </c>
      <c r="CG6" t="s">
        <v>78</v>
      </c>
      <c r="CH6">
        <v>5</v>
      </c>
      <c r="CI6" t="s">
        <v>66</v>
      </c>
      <c r="CJ6" t="s">
        <v>66</v>
      </c>
      <c r="CK6" t="s">
        <v>66</v>
      </c>
      <c r="CL6" t="s">
        <v>66</v>
      </c>
      <c r="CM6" t="s">
        <v>66</v>
      </c>
      <c r="CN6" t="s">
        <v>66</v>
      </c>
      <c r="CO6" t="s">
        <v>66</v>
      </c>
      <c r="CP6" t="s">
        <v>66</v>
      </c>
      <c r="CQ6" t="s">
        <v>66</v>
      </c>
      <c r="CR6" t="s">
        <v>66</v>
      </c>
      <c r="CS6" t="s">
        <v>66</v>
      </c>
      <c r="CT6" t="s">
        <v>66</v>
      </c>
      <c r="CU6" t="s">
        <v>66</v>
      </c>
      <c r="CV6" t="s">
        <v>534</v>
      </c>
      <c r="CW6" t="s">
        <v>822</v>
      </c>
    </row>
    <row r="7" spans="1:103" x14ac:dyDescent="0.25">
      <c r="A7" t="s">
        <v>181</v>
      </c>
      <c r="B7" t="s">
        <v>125</v>
      </c>
      <c r="C7" s="1">
        <v>45884</v>
      </c>
      <c r="D7" t="s">
        <v>283</v>
      </c>
      <c r="E7" s="6">
        <v>10819413</v>
      </c>
      <c r="F7">
        <v>39</v>
      </c>
      <c r="G7">
        <v>1</v>
      </c>
      <c r="H7" t="s">
        <v>127</v>
      </c>
      <c r="I7" t="s">
        <v>127</v>
      </c>
      <c r="J7" t="s">
        <v>284</v>
      </c>
      <c r="K7" s="1">
        <v>26850</v>
      </c>
      <c r="L7" s="15">
        <f t="shared" si="0"/>
        <v>52</v>
      </c>
      <c r="M7" t="s">
        <v>59</v>
      </c>
      <c r="N7" t="s">
        <v>108</v>
      </c>
      <c r="O7" t="s">
        <v>60</v>
      </c>
      <c r="P7" t="s">
        <v>61</v>
      </c>
      <c r="Q7" t="s">
        <v>212</v>
      </c>
      <c r="R7" t="s">
        <v>285</v>
      </c>
      <c r="S7" t="s">
        <v>61</v>
      </c>
      <c r="T7" t="s">
        <v>130</v>
      </c>
      <c r="U7" t="s">
        <v>61</v>
      </c>
      <c r="V7" t="s">
        <v>1728</v>
      </c>
      <c r="W7" t="s">
        <v>1708</v>
      </c>
      <c r="X7" t="s">
        <v>1748</v>
      </c>
      <c r="Y7" t="s">
        <v>1709</v>
      </c>
      <c r="Z7" t="s">
        <v>66</v>
      </c>
      <c r="AA7" t="s">
        <v>66</v>
      </c>
      <c r="AB7" t="s">
        <v>63</v>
      </c>
      <c r="AC7" t="s">
        <v>66</v>
      </c>
      <c r="AD7">
        <v>2</v>
      </c>
      <c r="AE7">
        <v>2</v>
      </c>
      <c r="AF7" t="s">
        <v>61</v>
      </c>
      <c r="AG7" t="s">
        <v>286</v>
      </c>
      <c r="AH7" t="s">
        <v>63</v>
      </c>
      <c r="AI7" t="s">
        <v>66</v>
      </c>
      <c r="AJ7" t="s">
        <v>61</v>
      </c>
      <c r="AK7" t="s">
        <v>66</v>
      </c>
      <c r="AL7" t="s">
        <v>61</v>
      </c>
      <c r="AM7" t="s">
        <v>66</v>
      </c>
      <c r="AN7">
        <v>2</v>
      </c>
      <c r="AO7" t="s">
        <v>61</v>
      </c>
      <c r="AP7" t="s">
        <v>287</v>
      </c>
      <c r="AQ7" t="s">
        <v>288</v>
      </c>
      <c r="AR7" t="s">
        <v>63</v>
      </c>
      <c r="AS7" t="s">
        <v>63</v>
      </c>
      <c r="AT7" t="s">
        <v>61</v>
      </c>
      <c r="AU7">
        <v>6</v>
      </c>
      <c r="AV7" t="s">
        <v>287</v>
      </c>
      <c r="AW7" t="s">
        <v>289</v>
      </c>
      <c r="AX7" t="s">
        <v>63</v>
      </c>
      <c r="AY7" t="s">
        <v>63</v>
      </c>
      <c r="AZ7" t="s">
        <v>61</v>
      </c>
      <c r="BA7">
        <v>6</v>
      </c>
      <c r="BB7" t="s">
        <v>290</v>
      </c>
      <c r="BC7" t="s">
        <v>161</v>
      </c>
      <c r="BD7" s="4" t="s">
        <v>225</v>
      </c>
      <c r="BE7" t="s">
        <v>105</v>
      </c>
      <c r="BF7" t="s">
        <v>104</v>
      </c>
      <c r="BG7" t="s">
        <v>163</v>
      </c>
      <c r="BH7" t="s">
        <v>63</v>
      </c>
      <c r="BI7" t="s">
        <v>291</v>
      </c>
      <c r="BJ7" s="3" t="s">
        <v>292</v>
      </c>
      <c r="BK7" t="s">
        <v>293</v>
      </c>
      <c r="BL7" s="4" t="s">
        <v>258</v>
      </c>
      <c r="BM7" s="4" t="s">
        <v>93</v>
      </c>
      <c r="BN7" s="4" t="s">
        <v>93</v>
      </c>
      <c r="BO7" s="4" t="s">
        <v>94</v>
      </c>
      <c r="BP7" s="4" t="s">
        <v>256</v>
      </c>
      <c r="BQ7" t="s">
        <v>295</v>
      </c>
      <c r="BR7" s="4" t="s">
        <v>294</v>
      </c>
      <c r="BS7" s="4" t="s">
        <v>66</v>
      </c>
      <c r="BT7" s="4" t="s">
        <v>66</v>
      </c>
      <c r="BU7" s="4" t="s">
        <v>66</v>
      </c>
      <c r="BV7" s="4" t="s">
        <v>66</v>
      </c>
      <c r="BW7" s="4" t="s">
        <v>66</v>
      </c>
      <c r="BX7" s="4" t="s">
        <v>66</v>
      </c>
      <c r="BY7" s="4" t="s">
        <v>66</v>
      </c>
      <c r="BZ7" s="4" t="s">
        <v>66</v>
      </c>
      <c r="CA7" s="4" t="s">
        <v>66</v>
      </c>
      <c r="CB7" s="4" t="s">
        <v>66</v>
      </c>
      <c r="CC7" s="4" t="s">
        <v>66</v>
      </c>
      <c r="CD7" s="4" t="s">
        <v>66</v>
      </c>
      <c r="CE7" s="4" t="s">
        <v>66</v>
      </c>
      <c r="CF7" s="4" t="s">
        <v>66</v>
      </c>
      <c r="CG7" s="4" t="s">
        <v>66</v>
      </c>
      <c r="CH7" s="4" t="s">
        <v>66</v>
      </c>
      <c r="CI7" s="4" t="s">
        <v>66</v>
      </c>
      <c r="CJ7" s="4" t="s">
        <v>66</v>
      </c>
      <c r="CK7" s="4" t="s">
        <v>66</v>
      </c>
      <c r="CL7" s="4" t="s">
        <v>66</v>
      </c>
      <c r="CM7" s="4" t="s">
        <v>66</v>
      </c>
      <c r="CN7" s="4" t="s">
        <v>66</v>
      </c>
      <c r="CO7" s="4" t="s">
        <v>66</v>
      </c>
      <c r="CP7" s="4" t="s">
        <v>66</v>
      </c>
      <c r="CQ7" s="4" t="s">
        <v>66</v>
      </c>
      <c r="CR7" s="4" t="s">
        <v>66</v>
      </c>
      <c r="CS7" s="4" t="s">
        <v>66</v>
      </c>
      <c r="CT7" s="4" t="s">
        <v>66</v>
      </c>
      <c r="CU7" s="4" t="s">
        <v>66</v>
      </c>
      <c r="CV7" t="s">
        <v>535</v>
      </c>
      <c r="CW7" s="3" t="s">
        <v>824</v>
      </c>
    </row>
    <row r="8" spans="1:103" x14ac:dyDescent="0.25">
      <c r="A8" t="s">
        <v>182</v>
      </c>
      <c r="B8" t="s">
        <v>125</v>
      </c>
      <c r="C8" s="1">
        <v>45884</v>
      </c>
      <c r="D8" t="s">
        <v>297</v>
      </c>
      <c r="E8" s="7" t="s">
        <v>296</v>
      </c>
      <c r="F8">
        <v>52</v>
      </c>
      <c r="G8">
        <v>44</v>
      </c>
      <c r="H8" t="s">
        <v>127</v>
      </c>
      <c r="I8" t="s">
        <v>127</v>
      </c>
      <c r="J8" t="s">
        <v>127</v>
      </c>
      <c r="K8" s="1">
        <v>23359</v>
      </c>
      <c r="L8" s="15">
        <f t="shared" si="0"/>
        <v>61</v>
      </c>
      <c r="M8" t="s">
        <v>59</v>
      </c>
      <c r="N8" t="s">
        <v>298</v>
      </c>
      <c r="O8" t="s">
        <v>60</v>
      </c>
      <c r="P8" t="s">
        <v>61</v>
      </c>
      <c r="Q8" t="s">
        <v>61</v>
      </c>
      <c r="R8" t="s">
        <v>62</v>
      </c>
      <c r="S8" t="s">
        <v>61</v>
      </c>
      <c r="T8" t="s">
        <v>130</v>
      </c>
      <c r="U8" t="s">
        <v>61</v>
      </c>
      <c r="V8" t="s">
        <v>1758</v>
      </c>
      <c r="W8" t="s">
        <v>1710</v>
      </c>
      <c r="X8" t="s">
        <v>66</v>
      </c>
      <c r="Y8" t="s">
        <v>66</v>
      </c>
      <c r="Z8" t="s">
        <v>66</v>
      </c>
      <c r="AA8" t="s">
        <v>66</v>
      </c>
      <c r="AB8" t="s">
        <v>63</v>
      </c>
      <c r="AC8" t="s">
        <v>66</v>
      </c>
      <c r="AD8">
        <v>2</v>
      </c>
      <c r="AE8">
        <v>2</v>
      </c>
      <c r="AF8" t="s">
        <v>63</v>
      </c>
      <c r="AG8" t="s">
        <v>66</v>
      </c>
      <c r="AH8" t="s">
        <v>61</v>
      </c>
      <c r="AI8" t="s">
        <v>299</v>
      </c>
      <c r="AJ8" t="s">
        <v>63</v>
      </c>
      <c r="AK8" t="s">
        <v>153</v>
      </c>
      <c r="AL8" t="s">
        <v>63</v>
      </c>
      <c r="AM8" t="s">
        <v>300</v>
      </c>
      <c r="AN8">
        <v>2</v>
      </c>
      <c r="AO8" t="s">
        <v>61</v>
      </c>
      <c r="AP8" t="s">
        <v>301</v>
      </c>
      <c r="AQ8" t="s">
        <v>302</v>
      </c>
      <c r="AR8" t="s">
        <v>63</v>
      </c>
      <c r="AS8" t="s">
        <v>63</v>
      </c>
      <c r="AT8" t="s">
        <v>61</v>
      </c>
      <c r="AU8">
        <v>3.7</v>
      </c>
      <c r="AV8" t="s">
        <v>303</v>
      </c>
      <c r="AW8" t="s">
        <v>304</v>
      </c>
      <c r="AX8" t="s">
        <v>63</v>
      </c>
      <c r="AY8" t="s">
        <v>63</v>
      </c>
      <c r="AZ8" t="s">
        <v>61</v>
      </c>
      <c r="BA8">
        <v>6.48</v>
      </c>
      <c r="BB8" t="s">
        <v>305</v>
      </c>
      <c r="BC8" t="s">
        <v>107</v>
      </c>
      <c r="BD8" s="4" t="s">
        <v>225</v>
      </c>
      <c r="BE8" t="s">
        <v>175</v>
      </c>
      <c r="BF8" t="s">
        <v>104</v>
      </c>
      <c r="BG8" t="s">
        <v>96</v>
      </c>
      <c r="BH8" t="s">
        <v>63</v>
      </c>
      <c r="BI8" t="s">
        <v>102</v>
      </c>
      <c r="BJ8" s="3" t="s">
        <v>292</v>
      </c>
      <c r="BK8" t="s">
        <v>306</v>
      </c>
      <c r="BL8" s="4" t="s">
        <v>77</v>
      </c>
      <c r="BM8" s="4" t="s">
        <v>142</v>
      </c>
      <c r="BN8" s="4" t="s">
        <v>307</v>
      </c>
      <c r="BO8" s="4" t="s">
        <v>308</v>
      </c>
      <c r="BP8" s="4" t="s">
        <v>309</v>
      </c>
      <c r="BQ8" t="s">
        <v>78</v>
      </c>
      <c r="BR8" s="4" t="s">
        <v>310</v>
      </c>
      <c r="BS8" t="s">
        <v>161</v>
      </c>
      <c r="BT8" s="4" t="s">
        <v>225</v>
      </c>
      <c r="BU8" t="s">
        <v>175</v>
      </c>
      <c r="BV8" t="s">
        <v>104</v>
      </c>
      <c r="BW8" t="s">
        <v>163</v>
      </c>
      <c r="BX8" t="s">
        <v>63</v>
      </c>
      <c r="BY8" s="5" t="s">
        <v>311</v>
      </c>
      <c r="BZ8" s="4" t="s">
        <v>312</v>
      </c>
      <c r="CA8" t="s">
        <v>293</v>
      </c>
      <c r="CB8" s="3" t="s">
        <v>77</v>
      </c>
      <c r="CC8" s="4" t="s">
        <v>93</v>
      </c>
      <c r="CD8" s="4" t="s">
        <v>93</v>
      </c>
      <c r="CE8" s="4" t="s">
        <v>94</v>
      </c>
      <c r="CF8" s="4" t="s">
        <v>256</v>
      </c>
      <c r="CG8" t="s">
        <v>78</v>
      </c>
      <c r="CH8">
        <v>1.8</v>
      </c>
      <c r="CI8" t="s">
        <v>70</v>
      </c>
      <c r="CJ8" t="s">
        <v>71</v>
      </c>
      <c r="CK8" t="s">
        <v>63</v>
      </c>
      <c r="CL8" s="5" t="s">
        <v>313</v>
      </c>
      <c r="CM8" s="4">
        <v>3</v>
      </c>
      <c r="CN8" t="s">
        <v>431</v>
      </c>
      <c r="CO8" s="3" t="s">
        <v>138</v>
      </c>
      <c r="CP8" s="3" t="s">
        <v>260</v>
      </c>
      <c r="CQ8" s="3" t="s">
        <v>84</v>
      </c>
      <c r="CR8" s="3" t="s">
        <v>316</v>
      </c>
      <c r="CS8" s="3" t="s">
        <v>177</v>
      </c>
      <c r="CT8" t="s">
        <v>78</v>
      </c>
      <c r="CU8" s="3" t="s">
        <v>317</v>
      </c>
      <c r="CV8" t="s">
        <v>536</v>
      </c>
      <c r="CW8" s="3" t="s">
        <v>823</v>
      </c>
      <c r="CY8" t="s">
        <v>1692</v>
      </c>
    </row>
    <row r="9" spans="1:103" x14ac:dyDescent="0.25">
      <c r="A9" t="s">
        <v>183</v>
      </c>
      <c r="B9" t="s">
        <v>125</v>
      </c>
      <c r="C9" s="1">
        <v>45884</v>
      </c>
      <c r="D9" t="s">
        <v>319</v>
      </c>
      <c r="E9" s="7" t="s">
        <v>318</v>
      </c>
      <c r="F9">
        <v>60</v>
      </c>
      <c r="G9">
        <v>37</v>
      </c>
      <c r="H9" t="s">
        <v>127</v>
      </c>
      <c r="I9" t="s">
        <v>127</v>
      </c>
      <c r="J9" t="s">
        <v>320</v>
      </c>
      <c r="K9" s="1">
        <v>18052</v>
      </c>
      <c r="L9" s="15">
        <f t="shared" si="0"/>
        <v>76</v>
      </c>
      <c r="M9" t="s">
        <v>59</v>
      </c>
      <c r="N9" t="s">
        <v>321</v>
      </c>
      <c r="O9" t="s">
        <v>322</v>
      </c>
      <c r="P9" t="s">
        <v>61</v>
      </c>
      <c r="Q9" t="s">
        <v>212</v>
      </c>
      <c r="R9" t="s">
        <v>285</v>
      </c>
      <c r="S9" t="s">
        <v>61</v>
      </c>
      <c r="T9" t="s">
        <v>130</v>
      </c>
      <c r="U9" t="s">
        <v>63</v>
      </c>
      <c r="V9" t="s">
        <v>66</v>
      </c>
      <c r="W9" t="s">
        <v>66</v>
      </c>
      <c r="X9" t="s">
        <v>66</v>
      </c>
      <c r="Y9" t="s">
        <v>66</v>
      </c>
      <c r="Z9" t="s">
        <v>66</v>
      </c>
      <c r="AA9" t="s">
        <v>66</v>
      </c>
      <c r="AB9" t="s">
        <v>61</v>
      </c>
      <c r="AC9" t="s">
        <v>323</v>
      </c>
      <c r="AD9">
        <v>0</v>
      </c>
      <c r="AE9">
        <v>2</v>
      </c>
      <c r="AF9" t="s">
        <v>63</v>
      </c>
      <c r="AG9" t="s">
        <v>66</v>
      </c>
      <c r="AH9" t="s">
        <v>61</v>
      </c>
      <c r="AI9" t="s">
        <v>324</v>
      </c>
      <c r="AJ9" t="s">
        <v>61</v>
      </c>
      <c r="AK9" t="s">
        <v>66</v>
      </c>
      <c r="AL9" t="s">
        <v>61</v>
      </c>
      <c r="AM9" t="s">
        <v>66</v>
      </c>
      <c r="AN9">
        <v>2</v>
      </c>
      <c r="AO9" t="s">
        <v>61</v>
      </c>
      <c r="AP9" t="s">
        <v>325</v>
      </c>
      <c r="AQ9" t="s">
        <v>326</v>
      </c>
      <c r="AR9" t="s">
        <v>63</v>
      </c>
      <c r="AS9" t="s">
        <v>63</v>
      </c>
      <c r="AT9" t="s">
        <v>61</v>
      </c>
      <c r="AU9">
        <v>4</v>
      </c>
      <c r="AV9" t="s">
        <v>327</v>
      </c>
      <c r="AW9" t="s">
        <v>328</v>
      </c>
      <c r="AX9" t="s">
        <v>63</v>
      </c>
      <c r="AY9" t="s">
        <v>63</v>
      </c>
      <c r="AZ9" t="s">
        <v>61</v>
      </c>
      <c r="BA9">
        <v>5</v>
      </c>
      <c r="BB9" t="s">
        <v>329</v>
      </c>
      <c r="BC9" t="s">
        <v>70</v>
      </c>
      <c r="BD9" s="4" t="s">
        <v>315</v>
      </c>
      <c r="BE9" t="s">
        <v>105</v>
      </c>
      <c r="BF9" t="s">
        <v>104</v>
      </c>
      <c r="BG9" t="s">
        <v>71</v>
      </c>
      <c r="BH9" t="s">
        <v>63</v>
      </c>
      <c r="BI9" t="s">
        <v>330</v>
      </c>
      <c r="BJ9" s="3" t="s">
        <v>225</v>
      </c>
      <c r="BK9" t="s">
        <v>332</v>
      </c>
      <c r="BL9" s="4" t="s">
        <v>333</v>
      </c>
      <c r="BM9" s="4" t="s">
        <v>260</v>
      </c>
      <c r="BN9" s="4" t="s">
        <v>144</v>
      </c>
      <c r="BO9" s="4" t="s">
        <v>334</v>
      </c>
      <c r="BP9" s="4" t="s">
        <v>140</v>
      </c>
      <c r="BQ9" t="s">
        <v>78</v>
      </c>
      <c r="BR9" s="4" t="s">
        <v>335</v>
      </c>
      <c r="BS9" s="4" t="s">
        <v>66</v>
      </c>
      <c r="BT9" s="4" t="s">
        <v>66</v>
      </c>
      <c r="BU9" s="4" t="s">
        <v>66</v>
      </c>
      <c r="BV9" s="4" t="s">
        <v>66</v>
      </c>
      <c r="BW9" s="4" t="s">
        <v>66</v>
      </c>
      <c r="BX9" s="4" t="s">
        <v>66</v>
      </c>
      <c r="BY9" s="4" t="s">
        <v>66</v>
      </c>
      <c r="BZ9" s="4" t="s">
        <v>66</v>
      </c>
      <c r="CA9" s="4" t="s">
        <v>66</v>
      </c>
      <c r="CB9" s="4" t="s">
        <v>66</v>
      </c>
      <c r="CC9" s="4" t="s">
        <v>66</v>
      </c>
      <c r="CD9" s="4" t="s">
        <v>66</v>
      </c>
      <c r="CE9" s="4" t="s">
        <v>66</v>
      </c>
      <c r="CF9" s="4" t="s">
        <v>66</v>
      </c>
      <c r="CG9" s="4" t="s">
        <v>66</v>
      </c>
      <c r="CH9" s="4" t="s">
        <v>66</v>
      </c>
      <c r="CI9" s="4" t="s">
        <v>66</v>
      </c>
      <c r="CJ9" s="4" t="s">
        <v>66</v>
      </c>
      <c r="CK9" s="4" t="s">
        <v>66</v>
      </c>
      <c r="CL9" s="4" t="s">
        <v>66</v>
      </c>
      <c r="CM9" s="4" t="s">
        <v>66</v>
      </c>
      <c r="CN9" s="4" t="s">
        <v>66</v>
      </c>
      <c r="CO9" s="4" t="s">
        <v>66</v>
      </c>
      <c r="CP9" s="4" t="s">
        <v>66</v>
      </c>
      <c r="CQ9" s="4" t="s">
        <v>66</v>
      </c>
      <c r="CR9" s="4" t="s">
        <v>66</v>
      </c>
      <c r="CS9" s="4" t="s">
        <v>66</v>
      </c>
      <c r="CT9" s="4" t="s">
        <v>66</v>
      </c>
      <c r="CU9" s="4" t="s">
        <v>66</v>
      </c>
      <c r="CV9" t="s">
        <v>537</v>
      </c>
      <c r="CW9" s="4" t="s">
        <v>817</v>
      </c>
      <c r="CY9" t="s">
        <v>1693</v>
      </c>
    </row>
    <row r="10" spans="1:103" x14ac:dyDescent="0.25">
      <c r="A10" t="s">
        <v>184</v>
      </c>
      <c r="B10" t="s">
        <v>125</v>
      </c>
      <c r="C10" s="1">
        <v>45884</v>
      </c>
      <c r="D10" t="s">
        <v>336</v>
      </c>
      <c r="E10" s="6">
        <v>73478799</v>
      </c>
      <c r="F10">
        <v>3</v>
      </c>
      <c r="G10">
        <v>2</v>
      </c>
      <c r="H10" t="s">
        <v>127</v>
      </c>
      <c r="I10" t="s">
        <v>127</v>
      </c>
      <c r="J10" t="s">
        <v>127</v>
      </c>
      <c r="K10" s="1">
        <v>35143</v>
      </c>
      <c r="L10" s="15">
        <f t="shared" si="0"/>
        <v>29</v>
      </c>
      <c r="M10" t="s">
        <v>59</v>
      </c>
      <c r="N10" t="s">
        <v>89</v>
      </c>
      <c r="O10" t="s">
        <v>337</v>
      </c>
      <c r="P10" t="s">
        <v>61</v>
      </c>
      <c r="Q10" t="s">
        <v>61</v>
      </c>
      <c r="R10" t="s">
        <v>426</v>
      </c>
      <c r="S10" t="s">
        <v>61</v>
      </c>
      <c r="T10" t="s">
        <v>130</v>
      </c>
      <c r="U10" t="s">
        <v>63</v>
      </c>
      <c r="V10" t="s">
        <v>66</v>
      </c>
      <c r="W10" t="s">
        <v>66</v>
      </c>
      <c r="X10" t="s">
        <v>66</v>
      </c>
      <c r="Y10" t="s">
        <v>66</v>
      </c>
      <c r="Z10" t="s">
        <v>66</v>
      </c>
      <c r="AA10" t="s">
        <v>66</v>
      </c>
      <c r="AB10" t="s">
        <v>61</v>
      </c>
      <c r="AC10" t="s">
        <v>338</v>
      </c>
      <c r="AD10">
        <v>1</v>
      </c>
      <c r="AE10">
        <v>1</v>
      </c>
      <c r="AF10" t="s">
        <v>63</v>
      </c>
      <c r="AG10" t="s">
        <v>66</v>
      </c>
      <c r="AH10" t="s">
        <v>63</v>
      </c>
      <c r="AI10" t="s">
        <v>66</v>
      </c>
      <c r="AJ10" t="s">
        <v>63</v>
      </c>
      <c r="AK10" t="s">
        <v>339</v>
      </c>
      <c r="AL10" t="s">
        <v>63</v>
      </c>
      <c r="AM10" t="s">
        <v>340</v>
      </c>
      <c r="AN10" t="s">
        <v>93</v>
      </c>
      <c r="AO10" t="s">
        <v>63</v>
      </c>
      <c r="AP10" t="s">
        <v>66</v>
      </c>
      <c r="AQ10" t="s">
        <v>66</v>
      </c>
      <c r="AR10" t="s">
        <v>66</v>
      </c>
      <c r="AS10" t="s">
        <v>66</v>
      </c>
      <c r="AT10" t="s">
        <v>66</v>
      </c>
      <c r="AU10" t="s">
        <v>66</v>
      </c>
      <c r="AV10" t="s">
        <v>66</v>
      </c>
      <c r="AW10" t="s">
        <v>66</v>
      </c>
      <c r="AX10" t="s">
        <v>66</v>
      </c>
      <c r="AY10" t="s">
        <v>66</v>
      </c>
      <c r="AZ10" t="s">
        <v>66</v>
      </c>
      <c r="BA10" t="s">
        <v>66</v>
      </c>
      <c r="BB10" t="s">
        <v>93</v>
      </c>
      <c r="BC10" t="s">
        <v>341</v>
      </c>
      <c r="BD10" s="4" t="s">
        <v>77</v>
      </c>
      <c r="BE10" t="s">
        <v>342</v>
      </c>
      <c r="BF10" t="s">
        <v>104</v>
      </c>
      <c r="BG10" t="s">
        <v>96</v>
      </c>
      <c r="BH10" t="s">
        <v>63</v>
      </c>
      <c r="BI10" t="s">
        <v>254</v>
      </c>
      <c r="BJ10" s="3" t="s">
        <v>342</v>
      </c>
      <c r="BK10" t="s">
        <v>216</v>
      </c>
      <c r="BL10" s="4" t="s">
        <v>263</v>
      </c>
      <c r="BM10" s="4" t="s">
        <v>80</v>
      </c>
      <c r="BN10" s="4" t="s">
        <v>344</v>
      </c>
      <c r="BO10" s="4" t="s">
        <v>345</v>
      </c>
      <c r="BP10" s="4" t="s">
        <v>346</v>
      </c>
      <c r="BQ10" t="s">
        <v>78</v>
      </c>
      <c r="BR10">
        <v>2.5</v>
      </c>
      <c r="BS10" s="4" t="s">
        <v>219</v>
      </c>
      <c r="BT10" s="4">
        <v>4</v>
      </c>
      <c r="BU10" s="4" t="s">
        <v>342</v>
      </c>
      <c r="BV10" t="s">
        <v>104</v>
      </c>
      <c r="BW10" s="4" t="s">
        <v>79</v>
      </c>
      <c r="BX10" t="s">
        <v>61</v>
      </c>
      <c r="BY10" s="4" t="s">
        <v>347</v>
      </c>
      <c r="BZ10" s="4" t="s">
        <v>348</v>
      </c>
      <c r="CA10" s="4" t="s">
        <v>280</v>
      </c>
      <c r="CB10" s="3" t="s">
        <v>349</v>
      </c>
      <c r="CC10" s="3" t="s">
        <v>225</v>
      </c>
      <c r="CD10" s="3" t="s">
        <v>350</v>
      </c>
      <c r="CE10" s="4" t="s">
        <v>94</v>
      </c>
      <c r="CF10" s="4" t="s">
        <v>343</v>
      </c>
      <c r="CG10" t="s">
        <v>78</v>
      </c>
      <c r="CH10" t="s">
        <v>93</v>
      </c>
      <c r="CI10" s="4" t="s">
        <v>66</v>
      </c>
      <c r="CJ10" s="4" t="s">
        <v>66</v>
      </c>
      <c r="CK10" s="4" t="s">
        <v>66</v>
      </c>
      <c r="CL10" s="4" t="s">
        <v>66</v>
      </c>
      <c r="CM10" s="4" t="s">
        <v>66</v>
      </c>
      <c r="CN10" s="4" t="s">
        <v>66</v>
      </c>
      <c r="CO10" s="4" t="s">
        <v>66</v>
      </c>
      <c r="CP10" s="4" t="s">
        <v>66</v>
      </c>
      <c r="CQ10" s="4" t="s">
        <v>66</v>
      </c>
      <c r="CR10" s="4" t="s">
        <v>66</v>
      </c>
      <c r="CS10" s="4" t="s">
        <v>66</v>
      </c>
      <c r="CT10" s="4" t="s">
        <v>66</v>
      </c>
      <c r="CU10" s="4" t="s">
        <v>66</v>
      </c>
      <c r="CV10" t="s">
        <v>538</v>
      </c>
      <c r="CW10" s="4" t="s">
        <v>351</v>
      </c>
    </row>
    <row r="11" spans="1:103" x14ac:dyDescent="0.25">
      <c r="A11" t="s">
        <v>185</v>
      </c>
      <c r="B11" t="s">
        <v>125</v>
      </c>
      <c r="C11" s="1">
        <v>45885</v>
      </c>
      <c r="D11" t="s">
        <v>353</v>
      </c>
      <c r="E11" s="7" t="s">
        <v>352</v>
      </c>
      <c r="F11">
        <v>30</v>
      </c>
      <c r="G11">
        <v>30</v>
      </c>
      <c r="H11" t="s">
        <v>127</v>
      </c>
      <c r="I11" t="s">
        <v>127</v>
      </c>
      <c r="J11" t="s">
        <v>127</v>
      </c>
      <c r="K11" s="1">
        <v>25106</v>
      </c>
      <c r="L11" s="15">
        <f t="shared" si="0"/>
        <v>56</v>
      </c>
      <c r="M11" t="s">
        <v>59</v>
      </c>
      <c r="N11" t="s">
        <v>108</v>
      </c>
      <c r="O11" t="s">
        <v>322</v>
      </c>
      <c r="P11" t="s">
        <v>61</v>
      </c>
      <c r="Q11" t="s">
        <v>61</v>
      </c>
      <c r="R11" t="s">
        <v>62</v>
      </c>
      <c r="S11" t="s">
        <v>61</v>
      </c>
      <c r="T11" t="s">
        <v>354</v>
      </c>
      <c r="U11" t="s">
        <v>61</v>
      </c>
      <c r="V11" t="s">
        <v>1758</v>
      </c>
      <c r="W11" t="s">
        <v>1708</v>
      </c>
      <c r="X11" t="s">
        <v>66</v>
      </c>
      <c r="Y11" t="s">
        <v>66</v>
      </c>
      <c r="Z11" t="s">
        <v>66</v>
      </c>
      <c r="AA11" t="s">
        <v>66</v>
      </c>
      <c r="AB11" t="s">
        <v>61</v>
      </c>
      <c r="AC11" t="s">
        <v>355</v>
      </c>
      <c r="AD11">
        <v>1</v>
      </c>
      <c r="AE11">
        <v>5</v>
      </c>
      <c r="AF11" t="s">
        <v>61</v>
      </c>
      <c r="AG11" t="s">
        <v>132</v>
      </c>
      <c r="AH11" t="s">
        <v>63</v>
      </c>
      <c r="AI11" t="s">
        <v>66</v>
      </c>
      <c r="AJ11" t="s">
        <v>61</v>
      </c>
      <c r="AK11" t="s">
        <v>66</v>
      </c>
      <c r="AL11" t="s">
        <v>61</v>
      </c>
      <c r="AM11" t="s">
        <v>66</v>
      </c>
      <c r="AN11">
        <v>1</v>
      </c>
      <c r="AO11" t="s">
        <v>61</v>
      </c>
      <c r="AP11" t="s">
        <v>357</v>
      </c>
      <c r="AQ11" t="s">
        <v>356</v>
      </c>
      <c r="AR11" t="s">
        <v>63</v>
      </c>
      <c r="AS11" t="s">
        <v>63</v>
      </c>
      <c r="AT11" t="s">
        <v>61</v>
      </c>
      <c r="AU11">
        <v>13.73</v>
      </c>
      <c r="AV11" t="s">
        <v>66</v>
      </c>
      <c r="AW11" t="s">
        <v>66</v>
      </c>
      <c r="AX11" t="s">
        <v>66</v>
      </c>
      <c r="AY11" t="s">
        <v>66</v>
      </c>
      <c r="AZ11" t="s">
        <v>66</v>
      </c>
      <c r="BA11" t="s">
        <v>66</v>
      </c>
      <c r="BB11" t="s">
        <v>358</v>
      </c>
      <c r="BC11" t="s">
        <v>107</v>
      </c>
      <c r="BD11" s="4" t="s">
        <v>310</v>
      </c>
      <c r="BE11" t="s">
        <v>136</v>
      </c>
      <c r="BF11" t="s">
        <v>104</v>
      </c>
      <c r="BG11" t="s">
        <v>1527</v>
      </c>
      <c r="BH11" t="s">
        <v>359</v>
      </c>
      <c r="BI11" t="s">
        <v>167</v>
      </c>
      <c r="BJ11" s="3" t="s">
        <v>272</v>
      </c>
      <c r="BK11" t="s">
        <v>360</v>
      </c>
      <c r="BL11" s="4" t="s">
        <v>361</v>
      </c>
      <c r="BM11">
        <v>3</v>
      </c>
      <c r="BN11" s="4" t="s">
        <v>362</v>
      </c>
      <c r="BO11" s="3" t="s">
        <v>363</v>
      </c>
      <c r="BP11" s="4" t="s">
        <v>364</v>
      </c>
      <c r="BQ11" t="s">
        <v>78</v>
      </c>
      <c r="BR11" s="4" t="s">
        <v>365</v>
      </c>
      <c r="BS11" t="s">
        <v>70</v>
      </c>
      <c r="BT11" s="4" t="s">
        <v>373</v>
      </c>
      <c r="BU11" s="4" t="s">
        <v>136</v>
      </c>
      <c r="BV11" t="s">
        <v>104</v>
      </c>
      <c r="BW11" t="s">
        <v>71</v>
      </c>
      <c r="BX11" t="s">
        <v>63</v>
      </c>
      <c r="BY11" s="5" t="s">
        <v>374</v>
      </c>
      <c r="BZ11" s="4" t="s">
        <v>279</v>
      </c>
      <c r="CA11" t="s">
        <v>375</v>
      </c>
      <c r="CB11" s="3" t="s">
        <v>105</v>
      </c>
      <c r="CC11" s="3" t="s">
        <v>260</v>
      </c>
      <c r="CD11" s="3" t="s">
        <v>376</v>
      </c>
      <c r="CE11" s="4" t="s">
        <v>377</v>
      </c>
      <c r="CF11" s="4" t="s">
        <v>275</v>
      </c>
      <c r="CG11" t="s">
        <v>78</v>
      </c>
      <c r="CH11" s="4" t="s">
        <v>378</v>
      </c>
      <c r="CI11" s="4" t="s">
        <v>219</v>
      </c>
      <c r="CJ11" s="4" t="s">
        <v>367</v>
      </c>
      <c r="CK11" s="4" t="s">
        <v>366</v>
      </c>
      <c r="CL11" t="s">
        <v>368</v>
      </c>
      <c r="CM11" s="4" t="s">
        <v>379</v>
      </c>
      <c r="CN11" t="s">
        <v>369</v>
      </c>
      <c r="CO11" s="3" t="s">
        <v>370</v>
      </c>
      <c r="CP11" s="4" t="s">
        <v>142</v>
      </c>
      <c r="CQ11" s="4" t="s">
        <v>371</v>
      </c>
      <c r="CR11" s="4" t="s">
        <v>372</v>
      </c>
      <c r="CS11" s="3" t="s">
        <v>364</v>
      </c>
      <c r="CT11" t="s">
        <v>78</v>
      </c>
      <c r="CU11" s="4" t="s">
        <v>310</v>
      </c>
      <c r="CV11" t="s">
        <v>539</v>
      </c>
      <c r="CW11" t="s">
        <v>380</v>
      </c>
      <c r="CX11" s="4"/>
      <c r="CY11" t="s">
        <v>1694</v>
      </c>
    </row>
    <row r="12" spans="1:103" x14ac:dyDescent="0.25">
      <c r="A12" t="s">
        <v>186</v>
      </c>
      <c r="B12" t="s">
        <v>125</v>
      </c>
      <c r="C12" s="1">
        <v>45885</v>
      </c>
      <c r="D12" t="s">
        <v>382</v>
      </c>
      <c r="E12" s="7" t="s">
        <v>381</v>
      </c>
      <c r="F12">
        <v>53</v>
      </c>
      <c r="G12">
        <v>45</v>
      </c>
      <c r="H12" t="s">
        <v>127</v>
      </c>
      <c r="I12" t="s">
        <v>127</v>
      </c>
      <c r="J12" t="s">
        <v>127</v>
      </c>
      <c r="K12" s="1">
        <v>21983</v>
      </c>
      <c r="L12" s="15">
        <f t="shared" si="0"/>
        <v>65</v>
      </c>
      <c r="M12" t="s">
        <v>59</v>
      </c>
      <c r="N12" t="s">
        <v>321</v>
      </c>
      <c r="O12" t="s">
        <v>90</v>
      </c>
      <c r="P12" t="s">
        <v>61</v>
      </c>
      <c r="Q12" t="s">
        <v>61</v>
      </c>
      <c r="R12" t="s">
        <v>426</v>
      </c>
      <c r="S12" t="s">
        <v>61</v>
      </c>
      <c r="T12" t="s">
        <v>130</v>
      </c>
      <c r="U12" t="s">
        <v>61</v>
      </c>
      <c r="V12" t="s">
        <v>1758</v>
      </c>
      <c r="W12" t="s">
        <v>1710</v>
      </c>
      <c r="X12" t="s">
        <v>1711</v>
      </c>
      <c r="Y12" t="s">
        <v>1081</v>
      </c>
      <c r="Z12" t="s">
        <v>66</v>
      </c>
      <c r="AA12" t="s">
        <v>66</v>
      </c>
      <c r="AB12" t="s">
        <v>61</v>
      </c>
      <c r="AC12" t="s">
        <v>1237</v>
      </c>
      <c r="AD12">
        <v>0</v>
      </c>
      <c r="AE12">
        <v>2</v>
      </c>
      <c r="AF12" t="s">
        <v>63</v>
      </c>
      <c r="AG12" t="s">
        <v>66</v>
      </c>
      <c r="AH12" t="s">
        <v>61</v>
      </c>
      <c r="AI12" t="s">
        <v>267</v>
      </c>
      <c r="AJ12" t="s">
        <v>61</v>
      </c>
      <c r="AK12" t="s">
        <v>66</v>
      </c>
      <c r="AL12" t="s">
        <v>61</v>
      </c>
      <c r="AM12" t="s">
        <v>66</v>
      </c>
      <c r="AN12" t="s">
        <v>383</v>
      </c>
      <c r="AO12" t="s">
        <v>61</v>
      </c>
      <c r="AP12" t="s">
        <v>384</v>
      </c>
      <c r="AQ12" t="s">
        <v>385</v>
      </c>
      <c r="AR12" t="s">
        <v>63</v>
      </c>
      <c r="AS12" t="s">
        <v>63</v>
      </c>
      <c r="AT12" t="s">
        <v>61</v>
      </c>
      <c r="AU12" t="s">
        <v>93</v>
      </c>
      <c r="AV12" t="s">
        <v>386</v>
      </c>
      <c r="AW12" t="s">
        <v>387</v>
      </c>
      <c r="AX12" t="s">
        <v>63</v>
      </c>
      <c r="AY12" t="s">
        <v>63</v>
      </c>
      <c r="AZ12" t="s">
        <v>61</v>
      </c>
      <c r="BA12" t="s">
        <v>66</v>
      </c>
      <c r="BB12">
        <v>450</v>
      </c>
      <c r="BC12" t="s">
        <v>341</v>
      </c>
      <c r="BD12" s="4" t="s">
        <v>315</v>
      </c>
      <c r="BE12" t="s">
        <v>388</v>
      </c>
      <c r="BF12" t="s">
        <v>104</v>
      </c>
      <c r="BG12" t="s">
        <v>96</v>
      </c>
      <c r="BH12" t="s">
        <v>63</v>
      </c>
      <c r="BI12" t="s">
        <v>389</v>
      </c>
      <c r="BJ12" s="3" t="s">
        <v>314</v>
      </c>
      <c r="BK12" t="s">
        <v>390</v>
      </c>
      <c r="BL12" s="4" t="s">
        <v>274</v>
      </c>
      <c r="BM12" s="4" t="s">
        <v>391</v>
      </c>
      <c r="BN12" s="4" t="s">
        <v>392</v>
      </c>
      <c r="BO12" s="4" t="s">
        <v>160</v>
      </c>
      <c r="BP12">
        <v>2000</v>
      </c>
      <c r="BQ12" t="s">
        <v>78</v>
      </c>
      <c r="BR12" s="4" t="s">
        <v>103</v>
      </c>
      <c r="BS12" t="s">
        <v>341</v>
      </c>
      <c r="BT12" s="4" t="s">
        <v>315</v>
      </c>
      <c r="BU12" t="s">
        <v>388</v>
      </c>
      <c r="BV12" t="s">
        <v>104</v>
      </c>
      <c r="BW12" t="s">
        <v>393</v>
      </c>
      <c r="BX12" t="s">
        <v>63</v>
      </c>
      <c r="BY12" t="s">
        <v>389</v>
      </c>
      <c r="BZ12" s="3" t="s">
        <v>77</v>
      </c>
      <c r="CA12" t="s">
        <v>390</v>
      </c>
      <c r="CB12" s="3" t="s">
        <v>362</v>
      </c>
      <c r="CC12" s="3" t="s">
        <v>144</v>
      </c>
      <c r="CD12" s="3" t="s">
        <v>76</v>
      </c>
      <c r="CE12" s="3" t="s">
        <v>394</v>
      </c>
      <c r="CF12" s="3" t="s">
        <v>395</v>
      </c>
      <c r="CG12" t="s">
        <v>78</v>
      </c>
      <c r="CH12" s="3" t="s">
        <v>396</v>
      </c>
      <c r="CI12" s="4" t="s">
        <v>66</v>
      </c>
      <c r="CJ12" s="4" t="s">
        <v>66</v>
      </c>
      <c r="CK12" s="4" t="s">
        <v>66</v>
      </c>
      <c r="CL12" s="4" t="s">
        <v>66</v>
      </c>
      <c r="CM12" s="4" t="s">
        <v>66</v>
      </c>
      <c r="CN12" s="4" t="s">
        <v>66</v>
      </c>
      <c r="CO12" s="4" t="s">
        <v>66</v>
      </c>
      <c r="CP12" s="4" t="s">
        <v>66</v>
      </c>
      <c r="CQ12" s="4" t="s">
        <v>66</v>
      </c>
      <c r="CR12" s="4" t="s">
        <v>66</v>
      </c>
      <c r="CS12" s="4" t="s">
        <v>66</v>
      </c>
      <c r="CT12" s="4" t="s">
        <v>66</v>
      </c>
      <c r="CU12" s="4" t="s">
        <v>66</v>
      </c>
      <c r="CV12" t="s">
        <v>540</v>
      </c>
      <c r="CW12" s="4" t="s">
        <v>818</v>
      </c>
    </row>
    <row r="13" spans="1:103" x14ac:dyDescent="0.25">
      <c r="A13" t="s">
        <v>187</v>
      </c>
      <c r="B13" t="s">
        <v>125</v>
      </c>
      <c r="C13" s="1">
        <v>45885</v>
      </c>
      <c r="D13" t="s">
        <v>398</v>
      </c>
      <c r="E13" s="7" t="s">
        <v>397</v>
      </c>
      <c r="F13">
        <v>25</v>
      </c>
      <c r="G13">
        <v>2</v>
      </c>
      <c r="H13" t="s">
        <v>127</v>
      </c>
      <c r="I13" t="s">
        <v>127</v>
      </c>
      <c r="J13" t="s">
        <v>127</v>
      </c>
      <c r="K13" s="1">
        <v>23900</v>
      </c>
      <c r="L13" s="15">
        <f t="shared" si="0"/>
        <v>60</v>
      </c>
      <c r="M13" t="s">
        <v>399</v>
      </c>
      <c r="N13" t="s">
        <v>89</v>
      </c>
      <c r="O13" t="s">
        <v>322</v>
      </c>
      <c r="P13" t="s">
        <v>61</v>
      </c>
      <c r="Q13" t="s">
        <v>212</v>
      </c>
      <c r="R13" t="s">
        <v>426</v>
      </c>
      <c r="S13" t="s">
        <v>63</v>
      </c>
      <c r="T13" t="s">
        <v>66</v>
      </c>
      <c r="U13" t="s">
        <v>61</v>
      </c>
      <c r="V13" t="s">
        <v>1758</v>
      </c>
      <c r="W13" t="s">
        <v>1712</v>
      </c>
      <c r="X13" t="s">
        <v>66</v>
      </c>
      <c r="Y13" t="s">
        <v>66</v>
      </c>
      <c r="Z13" t="s">
        <v>66</v>
      </c>
      <c r="AA13" t="s">
        <v>66</v>
      </c>
      <c r="AB13" t="s">
        <v>61</v>
      </c>
      <c r="AC13" t="s">
        <v>1238</v>
      </c>
      <c r="AD13">
        <v>0</v>
      </c>
      <c r="AE13">
        <v>2</v>
      </c>
      <c r="AF13" t="s">
        <v>63</v>
      </c>
      <c r="AG13" t="s">
        <v>66</v>
      </c>
      <c r="AH13" t="s">
        <v>61</v>
      </c>
      <c r="AI13" t="s">
        <v>400</v>
      </c>
      <c r="AJ13" t="s">
        <v>61</v>
      </c>
      <c r="AK13" t="s">
        <v>66</v>
      </c>
      <c r="AL13" t="s">
        <v>61</v>
      </c>
      <c r="AM13" t="s">
        <v>66</v>
      </c>
      <c r="AN13" t="s">
        <v>401</v>
      </c>
      <c r="AO13" t="s">
        <v>61</v>
      </c>
      <c r="AP13" t="s">
        <v>402</v>
      </c>
      <c r="AQ13" t="s">
        <v>403</v>
      </c>
      <c r="AR13" t="s">
        <v>63</v>
      </c>
      <c r="AS13" t="s">
        <v>63</v>
      </c>
      <c r="AT13" t="s">
        <v>61</v>
      </c>
      <c r="AU13" t="s">
        <v>66</v>
      </c>
      <c r="AV13" t="s">
        <v>66</v>
      </c>
      <c r="AW13" t="s">
        <v>66</v>
      </c>
      <c r="AX13" t="s">
        <v>66</v>
      </c>
      <c r="AY13" t="s">
        <v>66</v>
      </c>
      <c r="AZ13" t="s">
        <v>66</v>
      </c>
      <c r="BA13" t="s">
        <v>66</v>
      </c>
      <c r="BB13" t="s">
        <v>404</v>
      </c>
      <c r="BC13" t="s">
        <v>341</v>
      </c>
      <c r="BD13" s="4" t="s">
        <v>225</v>
      </c>
      <c r="BE13" t="s">
        <v>405</v>
      </c>
      <c r="BF13" t="s">
        <v>104</v>
      </c>
      <c r="BG13" t="s">
        <v>96</v>
      </c>
      <c r="BH13" t="s">
        <v>63</v>
      </c>
      <c r="BI13" t="s">
        <v>406</v>
      </c>
      <c r="BJ13" s="3" t="s">
        <v>420</v>
      </c>
      <c r="BK13" t="s">
        <v>407</v>
      </c>
      <c r="BL13" s="4" t="s">
        <v>408</v>
      </c>
      <c r="BM13" s="4" t="s">
        <v>142</v>
      </c>
      <c r="BN13" s="4" t="s">
        <v>222</v>
      </c>
      <c r="BO13" t="s">
        <v>411</v>
      </c>
      <c r="BP13" t="s">
        <v>410</v>
      </c>
      <c r="BQ13" t="s">
        <v>78</v>
      </c>
      <c r="BR13" s="4" t="s">
        <v>365</v>
      </c>
      <c r="BS13" t="s">
        <v>70</v>
      </c>
      <c r="BT13" s="4" t="s">
        <v>225</v>
      </c>
      <c r="BU13" s="4" t="s">
        <v>405</v>
      </c>
      <c r="BV13" t="s">
        <v>104</v>
      </c>
      <c r="BW13" t="s">
        <v>71</v>
      </c>
      <c r="BX13" t="s">
        <v>63</v>
      </c>
      <c r="BY13" s="5" t="s">
        <v>374</v>
      </c>
      <c r="BZ13" s="4" t="s">
        <v>77</v>
      </c>
      <c r="CA13" t="s">
        <v>412</v>
      </c>
      <c r="CB13" s="3" t="s">
        <v>333</v>
      </c>
      <c r="CC13" s="3" t="s">
        <v>73</v>
      </c>
      <c r="CD13" s="3" t="s">
        <v>222</v>
      </c>
      <c r="CE13">
        <v>100</v>
      </c>
      <c r="CF13" s="4" t="s">
        <v>411</v>
      </c>
      <c r="CG13" t="s">
        <v>78</v>
      </c>
      <c r="CH13" t="s">
        <v>413</v>
      </c>
      <c r="CI13" s="4" t="s">
        <v>66</v>
      </c>
      <c r="CJ13" s="4" t="s">
        <v>66</v>
      </c>
      <c r="CK13" s="4" t="s">
        <v>66</v>
      </c>
      <c r="CL13" s="4" t="s">
        <v>66</v>
      </c>
      <c r="CM13" s="4" t="s">
        <v>66</v>
      </c>
      <c r="CN13" s="4" t="s">
        <v>66</v>
      </c>
      <c r="CO13" s="4" t="s">
        <v>66</v>
      </c>
      <c r="CP13" s="4" t="s">
        <v>66</v>
      </c>
      <c r="CQ13" s="4" t="s">
        <v>66</v>
      </c>
      <c r="CR13" s="4" t="s">
        <v>66</v>
      </c>
      <c r="CS13" s="4" t="s">
        <v>66</v>
      </c>
      <c r="CT13" s="4" t="s">
        <v>66</v>
      </c>
      <c r="CU13" s="4" t="s">
        <v>66</v>
      </c>
      <c r="CV13" t="s">
        <v>541</v>
      </c>
      <c r="CW13" s="4" t="s">
        <v>414</v>
      </c>
      <c r="CY13" t="s">
        <v>1701</v>
      </c>
    </row>
    <row r="14" spans="1:103" x14ac:dyDescent="0.25">
      <c r="A14" t="s">
        <v>188</v>
      </c>
      <c r="B14" t="s">
        <v>125</v>
      </c>
      <c r="C14" s="1">
        <v>45885</v>
      </c>
      <c r="D14" t="s">
        <v>415</v>
      </c>
      <c r="E14" s="6">
        <v>48352437</v>
      </c>
      <c r="F14">
        <v>8</v>
      </c>
      <c r="G14">
        <v>8</v>
      </c>
      <c r="H14" t="s">
        <v>416</v>
      </c>
      <c r="I14" t="s">
        <v>127</v>
      </c>
      <c r="J14" t="s">
        <v>127</v>
      </c>
      <c r="K14" s="1">
        <v>33891</v>
      </c>
      <c r="L14" s="15">
        <f t="shared" si="0"/>
        <v>32</v>
      </c>
      <c r="M14" t="s">
        <v>59</v>
      </c>
      <c r="N14" t="s">
        <v>108</v>
      </c>
      <c r="O14" t="s">
        <v>60</v>
      </c>
      <c r="P14" t="s">
        <v>61</v>
      </c>
      <c r="Q14" t="s">
        <v>61</v>
      </c>
      <c r="R14" t="s">
        <v>426</v>
      </c>
      <c r="S14" t="s">
        <v>63</v>
      </c>
      <c r="T14" t="s">
        <v>66</v>
      </c>
      <c r="U14" t="s">
        <v>63</v>
      </c>
      <c r="V14" t="s">
        <v>66</v>
      </c>
      <c r="W14" t="s">
        <v>66</v>
      </c>
      <c r="X14" t="s">
        <v>66</v>
      </c>
      <c r="Y14" t="s">
        <v>66</v>
      </c>
      <c r="Z14" t="s">
        <v>66</v>
      </c>
      <c r="AA14" t="s">
        <v>66</v>
      </c>
      <c r="AB14" t="s">
        <v>61</v>
      </c>
      <c r="AC14" t="s">
        <v>417</v>
      </c>
      <c r="AD14">
        <v>3</v>
      </c>
      <c r="AE14">
        <v>2</v>
      </c>
      <c r="AF14" t="s">
        <v>61</v>
      </c>
      <c r="AG14" t="s">
        <v>132</v>
      </c>
      <c r="AH14" t="s">
        <v>63</v>
      </c>
      <c r="AI14" t="s">
        <v>66</v>
      </c>
      <c r="AJ14" t="s">
        <v>63</v>
      </c>
      <c r="AK14" t="s">
        <v>153</v>
      </c>
      <c r="AL14" t="s">
        <v>61</v>
      </c>
      <c r="AM14" t="s">
        <v>66</v>
      </c>
      <c r="AN14">
        <v>0</v>
      </c>
      <c r="AO14" t="s">
        <v>63</v>
      </c>
      <c r="AP14" t="s">
        <v>66</v>
      </c>
      <c r="AQ14" t="s">
        <v>66</v>
      </c>
      <c r="AR14" t="s">
        <v>66</v>
      </c>
      <c r="AS14" t="s">
        <v>66</v>
      </c>
      <c r="AT14" t="s">
        <v>66</v>
      </c>
      <c r="AU14" t="s">
        <v>66</v>
      </c>
      <c r="AV14" t="s">
        <v>66</v>
      </c>
      <c r="AW14" t="s">
        <v>66</v>
      </c>
      <c r="AX14" t="s">
        <v>66</v>
      </c>
      <c r="AY14" t="s">
        <v>66</v>
      </c>
      <c r="AZ14" t="s">
        <v>66</v>
      </c>
      <c r="BA14" t="s">
        <v>66</v>
      </c>
      <c r="BB14" t="s">
        <v>358</v>
      </c>
      <c r="BC14" t="s">
        <v>161</v>
      </c>
      <c r="BD14" s="4" t="s">
        <v>225</v>
      </c>
      <c r="BE14" t="s">
        <v>418</v>
      </c>
      <c r="BF14" t="s">
        <v>104</v>
      </c>
      <c r="BG14" t="s">
        <v>163</v>
      </c>
      <c r="BH14" t="s">
        <v>63</v>
      </c>
      <c r="BI14" t="s">
        <v>167</v>
      </c>
      <c r="BJ14" s="3" t="s">
        <v>419</v>
      </c>
      <c r="BK14" t="s">
        <v>421</v>
      </c>
      <c r="BL14" s="4" t="s">
        <v>422</v>
      </c>
      <c r="BM14" s="4" t="s">
        <v>93</v>
      </c>
      <c r="BN14" s="4" t="s">
        <v>93</v>
      </c>
      <c r="BO14" s="4" t="s">
        <v>140</v>
      </c>
      <c r="BP14" s="4" t="s">
        <v>423</v>
      </c>
      <c r="BQ14" t="s">
        <v>78</v>
      </c>
      <c r="BR14" s="4" t="s">
        <v>315</v>
      </c>
      <c r="BS14" s="4" t="s">
        <v>66</v>
      </c>
      <c r="BT14" s="4" t="s">
        <v>66</v>
      </c>
      <c r="BU14" s="4" t="s">
        <v>66</v>
      </c>
      <c r="BV14" s="4" t="s">
        <v>66</v>
      </c>
      <c r="BW14" s="4" t="s">
        <v>66</v>
      </c>
      <c r="BX14" s="4" t="s">
        <v>66</v>
      </c>
      <c r="BY14" s="4" t="s">
        <v>66</v>
      </c>
      <c r="BZ14" s="4" t="s">
        <v>66</v>
      </c>
      <c r="CA14" s="4" t="s">
        <v>66</v>
      </c>
      <c r="CB14" s="4" t="s">
        <v>66</v>
      </c>
      <c r="CC14" s="4" t="s">
        <v>66</v>
      </c>
      <c r="CD14" s="4" t="s">
        <v>66</v>
      </c>
      <c r="CE14" s="4" t="s">
        <v>66</v>
      </c>
      <c r="CF14" s="4" t="s">
        <v>66</v>
      </c>
      <c r="CG14" s="4" t="s">
        <v>66</v>
      </c>
      <c r="CH14" s="4" t="s">
        <v>66</v>
      </c>
      <c r="CI14" s="4" t="s">
        <v>66</v>
      </c>
      <c r="CJ14" s="4" t="s">
        <v>66</v>
      </c>
      <c r="CK14" s="4" t="s">
        <v>66</v>
      </c>
      <c r="CL14" s="4" t="s">
        <v>66</v>
      </c>
      <c r="CM14" s="4" t="s">
        <v>66</v>
      </c>
      <c r="CN14" s="4" t="s">
        <v>66</v>
      </c>
      <c r="CO14" s="4" t="s">
        <v>66</v>
      </c>
      <c r="CP14" s="4" t="s">
        <v>66</v>
      </c>
      <c r="CQ14" s="4" t="s">
        <v>66</v>
      </c>
      <c r="CR14" s="4" t="s">
        <v>66</v>
      </c>
      <c r="CS14" s="4" t="s">
        <v>66</v>
      </c>
      <c r="CT14" s="4" t="s">
        <v>66</v>
      </c>
      <c r="CU14" s="4" t="s">
        <v>66</v>
      </c>
      <c r="CV14" t="s">
        <v>542</v>
      </c>
      <c r="CW14" s="4" t="s">
        <v>469</v>
      </c>
    </row>
    <row r="15" spans="1:103" x14ac:dyDescent="0.25">
      <c r="A15" t="s">
        <v>189</v>
      </c>
      <c r="B15" t="s">
        <v>125</v>
      </c>
      <c r="C15" s="1">
        <v>45885</v>
      </c>
      <c r="D15" t="s">
        <v>425</v>
      </c>
      <c r="E15" s="7" t="s">
        <v>424</v>
      </c>
      <c r="F15">
        <v>51</v>
      </c>
      <c r="G15">
        <v>36</v>
      </c>
      <c r="H15" t="s">
        <v>127</v>
      </c>
      <c r="I15" t="s">
        <v>127</v>
      </c>
      <c r="J15" t="s">
        <v>127</v>
      </c>
      <c r="K15" s="1">
        <v>23685</v>
      </c>
      <c r="L15" s="15">
        <f t="shared" si="0"/>
        <v>60</v>
      </c>
      <c r="M15" t="s">
        <v>59</v>
      </c>
      <c r="N15" t="s">
        <v>108</v>
      </c>
      <c r="O15" t="s">
        <v>322</v>
      </c>
      <c r="P15" t="s">
        <v>61</v>
      </c>
      <c r="Q15" t="s">
        <v>61</v>
      </c>
      <c r="R15" t="s">
        <v>129</v>
      </c>
      <c r="S15" t="s">
        <v>61</v>
      </c>
      <c r="T15" t="s">
        <v>130</v>
      </c>
      <c r="U15" t="s">
        <v>61</v>
      </c>
      <c r="V15" t="s">
        <v>1758</v>
      </c>
      <c r="W15" t="s">
        <v>1710</v>
      </c>
      <c r="X15" t="s">
        <v>66</v>
      </c>
      <c r="Y15" t="s">
        <v>66</v>
      </c>
      <c r="Z15" t="s">
        <v>66</v>
      </c>
      <c r="AA15" t="s">
        <v>66</v>
      </c>
      <c r="AB15" t="s">
        <v>63</v>
      </c>
      <c r="AC15" t="s">
        <v>66</v>
      </c>
      <c r="AD15">
        <v>5</v>
      </c>
      <c r="AE15">
        <v>2</v>
      </c>
      <c r="AF15" t="s">
        <v>61</v>
      </c>
      <c r="AG15" t="s">
        <v>417</v>
      </c>
      <c r="AH15" t="s">
        <v>63</v>
      </c>
      <c r="AI15" t="s">
        <v>66</v>
      </c>
      <c r="AJ15" t="s">
        <v>61</v>
      </c>
      <c r="AK15" t="s">
        <v>66</v>
      </c>
      <c r="AL15" t="s">
        <v>61</v>
      </c>
      <c r="AM15" t="s">
        <v>66</v>
      </c>
      <c r="AN15">
        <v>0</v>
      </c>
      <c r="AO15" t="s">
        <v>63</v>
      </c>
      <c r="AP15" t="s">
        <v>66</v>
      </c>
      <c r="AQ15" t="s">
        <v>66</v>
      </c>
      <c r="AR15" t="s">
        <v>66</v>
      </c>
      <c r="AS15" t="s">
        <v>66</v>
      </c>
      <c r="AT15" t="s">
        <v>66</v>
      </c>
      <c r="AU15" t="s">
        <v>66</v>
      </c>
      <c r="AV15" t="s">
        <v>66</v>
      </c>
      <c r="AW15" t="s">
        <v>66</v>
      </c>
      <c r="AX15" t="s">
        <v>66</v>
      </c>
      <c r="AY15" t="s">
        <v>66</v>
      </c>
      <c r="AZ15" t="s">
        <v>66</v>
      </c>
      <c r="BA15" t="s">
        <v>66</v>
      </c>
      <c r="BB15" t="s">
        <v>404</v>
      </c>
      <c r="BC15" t="s">
        <v>107</v>
      </c>
      <c r="BD15" s="4" t="s">
        <v>77</v>
      </c>
      <c r="BE15" t="s">
        <v>162</v>
      </c>
      <c r="BF15" t="s">
        <v>104</v>
      </c>
      <c r="BG15" t="s">
        <v>96</v>
      </c>
      <c r="BH15" t="s">
        <v>63</v>
      </c>
      <c r="BI15" t="s">
        <v>389</v>
      </c>
      <c r="BJ15" s="3" t="s">
        <v>277</v>
      </c>
      <c r="BK15" t="s">
        <v>427</v>
      </c>
      <c r="BL15" s="4" t="s">
        <v>274</v>
      </c>
      <c r="BM15" s="4" t="s">
        <v>142</v>
      </c>
      <c r="BN15" s="4" t="s">
        <v>428</v>
      </c>
      <c r="BO15">
        <v>1000</v>
      </c>
      <c r="BP15" s="4" t="s">
        <v>429</v>
      </c>
      <c r="BQ15" t="s">
        <v>78</v>
      </c>
      <c r="BR15" s="4" t="s">
        <v>365</v>
      </c>
      <c r="BS15" s="26" t="s">
        <v>107</v>
      </c>
      <c r="BT15" s="27" t="s">
        <v>77</v>
      </c>
      <c r="BU15" s="26" t="s">
        <v>162</v>
      </c>
      <c r="BV15" s="26" t="s">
        <v>104</v>
      </c>
      <c r="BW15" s="26" t="s">
        <v>79</v>
      </c>
      <c r="BX15" t="s">
        <v>63</v>
      </c>
      <c r="BY15" t="s">
        <v>389</v>
      </c>
      <c r="BZ15" s="4" t="s">
        <v>277</v>
      </c>
      <c r="CA15" t="s">
        <v>1702</v>
      </c>
      <c r="CB15" s="3" t="s">
        <v>274</v>
      </c>
      <c r="CC15" s="3" t="s">
        <v>142</v>
      </c>
      <c r="CD15" s="3" t="s">
        <v>84</v>
      </c>
      <c r="CE15">
        <v>1000</v>
      </c>
      <c r="CF15" s="4" t="s">
        <v>429</v>
      </c>
      <c r="CG15" t="s">
        <v>78</v>
      </c>
      <c r="CH15" t="s">
        <v>430</v>
      </c>
      <c r="CI15" t="s">
        <v>70</v>
      </c>
      <c r="CJ15" t="s">
        <v>71</v>
      </c>
      <c r="CK15" t="s">
        <v>63</v>
      </c>
      <c r="CL15" s="3" t="s">
        <v>98</v>
      </c>
      <c r="CM15" s="4">
        <v>2</v>
      </c>
      <c r="CN15" t="s">
        <v>434</v>
      </c>
      <c r="CO15" s="3" t="s">
        <v>435</v>
      </c>
      <c r="CP15" s="3" t="s">
        <v>260</v>
      </c>
      <c r="CQ15" s="3" t="s">
        <v>83</v>
      </c>
      <c r="CR15" s="4" t="s">
        <v>436</v>
      </c>
      <c r="CS15" s="4" t="s">
        <v>275</v>
      </c>
      <c r="CT15" t="s">
        <v>78</v>
      </c>
      <c r="CU15" s="3" t="s">
        <v>138</v>
      </c>
      <c r="CV15" s="28" t="s">
        <v>1696</v>
      </c>
      <c r="CW15" t="s">
        <v>437</v>
      </c>
      <c r="CY15" t="s">
        <v>1695</v>
      </c>
    </row>
    <row r="16" spans="1:103" x14ac:dyDescent="0.25">
      <c r="A16" t="s">
        <v>190</v>
      </c>
      <c r="B16" t="s">
        <v>125</v>
      </c>
      <c r="C16" s="1">
        <v>45885</v>
      </c>
      <c r="D16" t="s">
        <v>446</v>
      </c>
      <c r="E16" s="6">
        <v>42878933</v>
      </c>
      <c r="F16">
        <v>20</v>
      </c>
      <c r="G16">
        <v>20</v>
      </c>
      <c r="H16" t="s">
        <v>127</v>
      </c>
      <c r="I16" t="s">
        <v>127</v>
      </c>
      <c r="J16" t="s">
        <v>127</v>
      </c>
      <c r="K16" s="1">
        <v>30904</v>
      </c>
      <c r="L16" s="15">
        <f t="shared" si="0"/>
        <v>41</v>
      </c>
      <c r="M16" t="s">
        <v>59</v>
      </c>
      <c r="N16" t="s">
        <v>108</v>
      </c>
      <c r="O16" t="s">
        <v>60</v>
      </c>
      <c r="P16" t="s">
        <v>61</v>
      </c>
      <c r="Q16" t="s">
        <v>61</v>
      </c>
      <c r="R16" t="s">
        <v>62</v>
      </c>
      <c r="S16" t="s">
        <v>63</v>
      </c>
      <c r="T16" t="s">
        <v>66</v>
      </c>
      <c r="U16" t="s">
        <v>63</v>
      </c>
      <c r="V16" t="s">
        <v>66</v>
      </c>
      <c r="W16" t="s">
        <v>66</v>
      </c>
      <c r="X16" t="s">
        <v>66</v>
      </c>
      <c r="Y16" t="s">
        <v>66</v>
      </c>
      <c r="Z16" t="s">
        <v>66</v>
      </c>
      <c r="AA16" t="s">
        <v>66</v>
      </c>
      <c r="AB16" t="s">
        <v>63</v>
      </c>
      <c r="AC16" t="s">
        <v>66</v>
      </c>
      <c r="AD16">
        <v>3</v>
      </c>
      <c r="AE16">
        <v>2</v>
      </c>
      <c r="AF16" t="s">
        <v>61</v>
      </c>
      <c r="AG16" t="s">
        <v>132</v>
      </c>
      <c r="AH16" t="s">
        <v>63</v>
      </c>
      <c r="AI16" t="s">
        <v>66</v>
      </c>
      <c r="AJ16" t="s">
        <v>61</v>
      </c>
      <c r="AK16" t="s">
        <v>66</v>
      </c>
      <c r="AL16" t="s">
        <v>61</v>
      </c>
      <c r="AM16" t="s">
        <v>66</v>
      </c>
      <c r="AN16" t="s">
        <v>447</v>
      </c>
      <c r="AO16" t="s">
        <v>61</v>
      </c>
      <c r="AP16" t="s">
        <v>449</v>
      </c>
      <c r="AQ16" t="s">
        <v>448</v>
      </c>
      <c r="AR16" t="s">
        <v>63</v>
      </c>
      <c r="AS16" t="s">
        <v>63</v>
      </c>
      <c r="AT16" t="s">
        <v>63</v>
      </c>
      <c r="AU16">
        <v>21.4</v>
      </c>
      <c r="AV16" t="s">
        <v>66</v>
      </c>
      <c r="AW16" t="s">
        <v>66</v>
      </c>
      <c r="AX16" t="s">
        <v>66</v>
      </c>
      <c r="AY16" t="s">
        <v>66</v>
      </c>
      <c r="AZ16" t="s">
        <v>66</v>
      </c>
      <c r="BA16" t="s">
        <v>66</v>
      </c>
      <c r="BB16">
        <v>1000</v>
      </c>
      <c r="BC16" t="s">
        <v>219</v>
      </c>
      <c r="BD16" s="4" t="s">
        <v>310</v>
      </c>
      <c r="BE16" t="s">
        <v>136</v>
      </c>
      <c r="BF16" t="s">
        <v>104</v>
      </c>
      <c r="BG16" t="s">
        <v>393</v>
      </c>
      <c r="BH16" t="s">
        <v>450</v>
      </c>
      <c r="BI16" t="s">
        <v>451</v>
      </c>
      <c r="BJ16" s="3" t="s">
        <v>170</v>
      </c>
      <c r="BK16" t="s">
        <v>452</v>
      </c>
      <c r="BL16" s="4" t="s">
        <v>453</v>
      </c>
      <c r="BM16" s="4" t="s">
        <v>454</v>
      </c>
      <c r="BN16" s="4" t="s">
        <v>222</v>
      </c>
      <c r="BO16" s="4" t="s">
        <v>411</v>
      </c>
      <c r="BP16" s="4" t="s">
        <v>455</v>
      </c>
      <c r="BQ16" t="s">
        <v>78</v>
      </c>
      <c r="BR16" s="4" t="s">
        <v>258</v>
      </c>
      <c r="BS16" s="4" t="s">
        <v>66</v>
      </c>
      <c r="BT16" s="4" t="s">
        <v>66</v>
      </c>
      <c r="BU16" s="4" t="s">
        <v>66</v>
      </c>
      <c r="BV16" s="4" t="s">
        <v>66</v>
      </c>
      <c r="BW16" s="4" t="s">
        <v>66</v>
      </c>
      <c r="BX16" s="4" t="s">
        <v>66</v>
      </c>
      <c r="BY16" s="4" t="s">
        <v>66</v>
      </c>
      <c r="BZ16" s="4" t="s">
        <v>66</v>
      </c>
      <c r="CA16" s="4" t="s">
        <v>66</v>
      </c>
      <c r="CB16" s="4" t="s">
        <v>66</v>
      </c>
      <c r="CC16" s="4" t="s">
        <v>66</v>
      </c>
      <c r="CD16" s="4" t="s">
        <v>66</v>
      </c>
      <c r="CE16" s="4" t="s">
        <v>66</v>
      </c>
      <c r="CF16" s="4" t="s">
        <v>66</v>
      </c>
      <c r="CG16" s="4" t="s">
        <v>66</v>
      </c>
      <c r="CH16" s="4" t="s">
        <v>66</v>
      </c>
      <c r="CI16" s="4" t="s">
        <v>66</v>
      </c>
      <c r="CJ16" s="4" t="s">
        <v>66</v>
      </c>
      <c r="CK16" s="4" t="s">
        <v>66</v>
      </c>
      <c r="CL16" s="4" t="s">
        <v>66</v>
      </c>
      <c r="CM16" s="4" t="s">
        <v>66</v>
      </c>
      <c r="CN16" s="4" t="s">
        <v>66</v>
      </c>
      <c r="CO16" s="4" t="s">
        <v>66</v>
      </c>
      <c r="CP16" s="4" t="s">
        <v>66</v>
      </c>
      <c r="CQ16" s="4" t="s">
        <v>66</v>
      </c>
      <c r="CR16" s="4" t="s">
        <v>66</v>
      </c>
      <c r="CS16" s="4" t="s">
        <v>66</v>
      </c>
      <c r="CT16" s="4" t="s">
        <v>66</v>
      </c>
      <c r="CU16" s="4" t="s">
        <v>66</v>
      </c>
      <c r="CV16" t="s">
        <v>543</v>
      </c>
      <c r="CW16" s="4" t="s">
        <v>456</v>
      </c>
      <c r="CX16" s="4"/>
    </row>
    <row r="17" spans="1:103" x14ac:dyDescent="0.25">
      <c r="A17" t="s">
        <v>191</v>
      </c>
      <c r="B17" t="s">
        <v>125</v>
      </c>
      <c r="C17" s="1">
        <v>45887</v>
      </c>
      <c r="D17" t="s">
        <v>458</v>
      </c>
      <c r="E17" s="7" t="s">
        <v>457</v>
      </c>
      <c r="F17">
        <v>47</v>
      </c>
      <c r="G17">
        <v>20</v>
      </c>
      <c r="H17" t="s">
        <v>127</v>
      </c>
      <c r="I17" t="s">
        <v>127</v>
      </c>
      <c r="J17" t="s">
        <v>127</v>
      </c>
      <c r="K17" s="1">
        <v>25848</v>
      </c>
      <c r="L17" s="15">
        <f t="shared" si="0"/>
        <v>54</v>
      </c>
      <c r="M17" t="s">
        <v>59</v>
      </c>
      <c r="N17" t="s">
        <v>108</v>
      </c>
      <c r="O17" t="s">
        <v>60</v>
      </c>
      <c r="P17" t="s">
        <v>61</v>
      </c>
      <c r="Q17" t="s">
        <v>61</v>
      </c>
      <c r="R17" t="s">
        <v>62</v>
      </c>
      <c r="S17" t="s">
        <v>61</v>
      </c>
      <c r="T17" t="s">
        <v>130</v>
      </c>
      <c r="U17" t="s">
        <v>61</v>
      </c>
      <c r="V17" t="s">
        <v>1758</v>
      </c>
      <c r="W17" t="s">
        <v>1710</v>
      </c>
      <c r="X17" t="s">
        <v>66</v>
      </c>
      <c r="Y17" t="s">
        <v>66</v>
      </c>
      <c r="Z17" t="s">
        <v>66</v>
      </c>
      <c r="AA17" t="s">
        <v>66</v>
      </c>
      <c r="AB17" t="s">
        <v>63</v>
      </c>
      <c r="AC17" t="s">
        <v>66</v>
      </c>
      <c r="AD17">
        <v>1</v>
      </c>
      <c r="AE17">
        <v>3</v>
      </c>
      <c r="AF17" t="s">
        <v>61</v>
      </c>
      <c r="AG17" t="s">
        <v>459</v>
      </c>
      <c r="AH17" t="s">
        <v>63</v>
      </c>
      <c r="AI17" t="s">
        <v>66</v>
      </c>
      <c r="AJ17" t="s">
        <v>61</v>
      </c>
      <c r="AK17" t="s">
        <v>66</v>
      </c>
      <c r="AL17" t="s">
        <v>61</v>
      </c>
      <c r="AM17" t="s">
        <v>66</v>
      </c>
      <c r="AN17">
        <v>1</v>
      </c>
      <c r="AO17" t="s">
        <v>61</v>
      </c>
      <c r="AP17" t="s">
        <v>461</v>
      </c>
      <c r="AQ17" t="s">
        <v>460</v>
      </c>
      <c r="AR17" t="s">
        <v>63</v>
      </c>
      <c r="AS17" t="s">
        <v>63</v>
      </c>
      <c r="AT17" t="s">
        <v>61</v>
      </c>
      <c r="AU17">
        <v>5</v>
      </c>
      <c r="AV17" t="s">
        <v>66</v>
      </c>
      <c r="AW17" t="s">
        <v>66</v>
      </c>
      <c r="AX17" t="s">
        <v>66</v>
      </c>
      <c r="AY17" t="s">
        <v>66</v>
      </c>
      <c r="AZ17" t="s">
        <v>66</v>
      </c>
      <c r="BA17" t="s">
        <v>66</v>
      </c>
      <c r="BB17" t="s">
        <v>329</v>
      </c>
      <c r="BC17" t="s">
        <v>107</v>
      </c>
      <c r="BD17" s="4" t="s">
        <v>258</v>
      </c>
      <c r="BE17" t="s">
        <v>95</v>
      </c>
      <c r="BF17" t="s">
        <v>104</v>
      </c>
      <c r="BG17" t="s">
        <v>393</v>
      </c>
      <c r="BH17" t="s">
        <v>63</v>
      </c>
      <c r="BI17" t="s">
        <v>462</v>
      </c>
      <c r="BJ17" s="3" t="s">
        <v>258</v>
      </c>
      <c r="BK17" t="s">
        <v>463</v>
      </c>
      <c r="BL17" s="4" t="s">
        <v>222</v>
      </c>
      <c r="BM17" s="4" t="s">
        <v>84</v>
      </c>
      <c r="BN17" s="4" t="s">
        <v>84</v>
      </c>
      <c r="BO17" s="4" t="s">
        <v>363</v>
      </c>
      <c r="BP17">
        <v>1500</v>
      </c>
      <c r="BQ17" t="s">
        <v>78</v>
      </c>
      <c r="BR17" s="4" t="s">
        <v>464</v>
      </c>
      <c r="BS17" s="4" t="s">
        <v>219</v>
      </c>
      <c r="BT17" s="4" t="s">
        <v>258</v>
      </c>
      <c r="BU17" s="4" t="s">
        <v>95</v>
      </c>
      <c r="BV17" t="s">
        <v>104</v>
      </c>
      <c r="BW17" t="s">
        <v>79</v>
      </c>
      <c r="BX17" t="s">
        <v>366</v>
      </c>
      <c r="BY17" s="4" t="s">
        <v>465</v>
      </c>
      <c r="BZ17" s="4" t="s">
        <v>258</v>
      </c>
      <c r="CA17" t="s">
        <v>466</v>
      </c>
      <c r="CB17" s="3" t="s">
        <v>370</v>
      </c>
      <c r="CC17" s="3" t="s">
        <v>252</v>
      </c>
      <c r="CD17" s="3" t="s">
        <v>468</v>
      </c>
      <c r="CE17" s="3" t="s">
        <v>345</v>
      </c>
      <c r="CF17" s="4" t="s">
        <v>173</v>
      </c>
      <c r="CG17" t="s">
        <v>78</v>
      </c>
      <c r="CH17" t="s">
        <v>261</v>
      </c>
      <c r="CI17" s="4" t="s">
        <v>66</v>
      </c>
      <c r="CJ17" s="4" t="s">
        <v>66</v>
      </c>
      <c r="CK17" s="4" t="s">
        <v>66</v>
      </c>
      <c r="CL17" s="4" t="s">
        <v>66</v>
      </c>
      <c r="CM17" s="4" t="s">
        <v>66</v>
      </c>
      <c r="CN17" s="4" t="s">
        <v>66</v>
      </c>
      <c r="CO17" s="4" t="s">
        <v>66</v>
      </c>
      <c r="CP17" s="4" t="s">
        <v>66</v>
      </c>
      <c r="CQ17" s="4" t="s">
        <v>66</v>
      </c>
      <c r="CR17" s="4" t="s">
        <v>66</v>
      </c>
      <c r="CS17" s="4" t="s">
        <v>66</v>
      </c>
      <c r="CT17" s="4" t="s">
        <v>66</v>
      </c>
      <c r="CU17" s="4" t="s">
        <v>66</v>
      </c>
      <c r="CV17" t="s">
        <v>544</v>
      </c>
      <c r="CW17" s="4" t="s">
        <v>820</v>
      </c>
      <c r="CY17" s="4"/>
    </row>
    <row r="18" spans="1:103" x14ac:dyDescent="0.25">
      <c r="A18" t="s">
        <v>192</v>
      </c>
      <c r="B18" t="s">
        <v>125</v>
      </c>
      <c r="C18" s="1">
        <v>45887</v>
      </c>
      <c r="D18" t="s">
        <v>471</v>
      </c>
      <c r="E18" s="7" t="s">
        <v>470</v>
      </c>
      <c r="F18">
        <v>20</v>
      </c>
      <c r="G18">
        <v>20</v>
      </c>
      <c r="H18" t="s">
        <v>127</v>
      </c>
      <c r="I18" t="s">
        <v>127</v>
      </c>
      <c r="J18" t="s">
        <v>127</v>
      </c>
      <c r="K18" s="1">
        <v>26290</v>
      </c>
      <c r="L18" s="15">
        <f t="shared" si="0"/>
        <v>53</v>
      </c>
      <c r="M18" t="s">
        <v>59</v>
      </c>
      <c r="N18" t="s">
        <v>108</v>
      </c>
      <c r="O18" t="s">
        <v>60</v>
      </c>
      <c r="P18" t="s">
        <v>61</v>
      </c>
      <c r="Q18" t="s">
        <v>63</v>
      </c>
      <c r="R18" t="s">
        <v>285</v>
      </c>
      <c r="S18" t="s">
        <v>61</v>
      </c>
      <c r="T18" t="s">
        <v>130</v>
      </c>
      <c r="U18" t="s">
        <v>61</v>
      </c>
      <c r="V18" t="s">
        <v>1758</v>
      </c>
      <c r="W18" t="s">
        <v>1710</v>
      </c>
      <c r="X18" t="s">
        <v>66</v>
      </c>
      <c r="Y18" t="s">
        <v>66</v>
      </c>
      <c r="Z18" t="s">
        <v>66</v>
      </c>
      <c r="AA18" t="s">
        <v>66</v>
      </c>
      <c r="AB18" t="s">
        <v>63</v>
      </c>
      <c r="AC18" t="s">
        <v>66</v>
      </c>
      <c r="AD18">
        <v>4</v>
      </c>
      <c r="AE18">
        <v>3</v>
      </c>
      <c r="AF18" t="s">
        <v>61</v>
      </c>
      <c r="AG18" t="s">
        <v>132</v>
      </c>
      <c r="AH18" t="s">
        <v>61</v>
      </c>
      <c r="AI18" t="s">
        <v>267</v>
      </c>
      <c r="AJ18" t="s">
        <v>63</v>
      </c>
      <c r="AK18" t="s">
        <v>472</v>
      </c>
      <c r="AL18" t="s">
        <v>61</v>
      </c>
      <c r="AM18" t="s">
        <v>66</v>
      </c>
      <c r="AN18">
        <v>1</v>
      </c>
      <c r="AO18" t="s">
        <v>61</v>
      </c>
      <c r="AP18" t="s">
        <v>473</v>
      </c>
      <c r="AQ18" t="s">
        <v>474</v>
      </c>
      <c r="AR18" t="s">
        <v>63</v>
      </c>
      <c r="AS18" t="s">
        <v>61</v>
      </c>
      <c r="AT18" t="s">
        <v>61</v>
      </c>
      <c r="AU18">
        <v>8</v>
      </c>
      <c r="AV18" t="s">
        <v>473</v>
      </c>
      <c r="AW18" t="s">
        <v>66</v>
      </c>
      <c r="AX18" t="s">
        <v>66</v>
      </c>
      <c r="AY18" t="s">
        <v>66</v>
      </c>
      <c r="AZ18" t="s">
        <v>66</v>
      </c>
      <c r="BA18" t="s">
        <v>66</v>
      </c>
      <c r="BB18" t="s">
        <v>218</v>
      </c>
      <c r="BC18" t="s">
        <v>107</v>
      </c>
      <c r="BD18" s="4" t="s">
        <v>77</v>
      </c>
      <c r="BE18" t="s">
        <v>162</v>
      </c>
      <c r="BF18" t="s">
        <v>104</v>
      </c>
      <c r="BG18" t="s">
        <v>96</v>
      </c>
      <c r="BH18" t="s">
        <v>63</v>
      </c>
      <c r="BI18" t="s">
        <v>291</v>
      </c>
      <c r="BJ18" s="3" t="s">
        <v>475</v>
      </c>
      <c r="BK18" t="s">
        <v>476</v>
      </c>
      <c r="BL18" s="4" t="s">
        <v>274</v>
      </c>
      <c r="BM18" s="4" t="s">
        <v>373</v>
      </c>
      <c r="BN18" s="4" t="s">
        <v>77</v>
      </c>
      <c r="BO18" s="4" t="s">
        <v>94</v>
      </c>
      <c r="BP18" s="4" t="s">
        <v>477</v>
      </c>
      <c r="BQ18" t="s">
        <v>78</v>
      </c>
      <c r="BR18" s="4" t="s">
        <v>279</v>
      </c>
      <c r="BS18" t="s">
        <v>161</v>
      </c>
      <c r="BT18" s="4" t="s">
        <v>77</v>
      </c>
      <c r="BU18" s="4" t="s">
        <v>162</v>
      </c>
      <c r="BV18" t="s">
        <v>104</v>
      </c>
      <c r="BW18" t="s">
        <v>163</v>
      </c>
      <c r="BX18" t="s">
        <v>63</v>
      </c>
      <c r="BY18" s="5" t="s">
        <v>478</v>
      </c>
      <c r="BZ18" s="4" t="s">
        <v>479</v>
      </c>
      <c r="CA18" s="4" t="s">
        <v>421</v>
      </c>
      <c r="CB18" s="3" t="s">
        <v>274</v>
      </c>
      <c r="CC18" s="4" t="s">
        <v>93</v>
      </c>
      <c r="CD18" s="4" t="s">
        <v>93</v>
      </c>
      <c r="CE18" s="4" t="s">
        <v>140</v>
      </c>
      <c r="CF18" s="4" t="s">
        <v>480</v>
      </c>
      <c r="CG18" t="s">
        <v>78</v>
      </c>
      <c r="CH18">
        <v>2.2000000000000002</v>
      </c>
      <c r="CI18" s="4" t="s">
        <v>66</v>
      </c>
      <c r="CJ18" s="4" t="s">
        <v>66</v>
      </c>
      <c r="CK18" s="4" t="s">
        <v>66</v>
      </c>
      <c r="CL18" s="4" t="s">
        <v>66</v>
      </c>
      <c r="CM18" s="4" t="s">
        <v>66</v>
      </c>
      <c r="CN18" s="4" t="s">
        <v>66</v>
      </c>
      <c r="CO18" s="4" t="s">
        <v>66</v>
      </c>
      <c r="CP18" s="4" t="s">
        <v>66</v>
      </c>
      <c r="CQ18" s="4" t="s">
        <v>66</v>
      </c>
      <c r="CR18" s="4" t="s">
        <v>66</v>
      </c>
      <c r="CS18" s="4" t="s">
        <v>66</v>
      </c>
      <c r="CT18" s="4" t="s">
        <v>66</v>
      </c>
      <c r="CU18" s="4" t="s">
        <v>66</v>
      </c>
      <c r="CV18" t="s">
        <v>545</v>
      </c>
      <c r="CW18" s="4" t="s">
        <v>821</v>
      </c>
    </row>
    <row r="19" spans="1:103" x14ac:dyDescent="0.25">
      <c r="A19" t="s">
        <v>193</v>
      </c>
      <c r="B19" t="s">
        <v>125</v>
      </c>
      <c r="C19" s="1">
        <v>45887</v>
      </c>
      <c r="D19" t="s">
        <v>481</v>
      </c>
      <c r="E19" s="6">
        <v>40515591</v>
      </c>
      <c r="F19">
        <v>27</v>
      </c>
      <c r="G19">
        <v>20</v>
      </c>
      <c r="H19" t="s">
        <v>127</v>
      </c>
      <c r="I19" t="s">
        <v>127</v>
      </c>
      <c r="J19" t="s">
        <v>482</v>
      </c>
      <c r="K19" s="1">
        <v>29288</v>
      </c>
      <c r="L19" s="15">
        <f t="shared" si="0"/>
        <v>45</v>
      </c>
      <c r="M19" t="s">
        <v>59</v>
      </c>
      <c r="N19" t="s">
        <v>108</v>
      </c>
      <c r="O19" t="s">
        <v>90</v>
      </c>
      <c r="P19" t="s">
        <v>61</v>
      </c>
      <c r="Q19" t="s">
        <v>212</v>
      </c>
      <c r="R19" t="s">
        <v>129</v>
      </c>
      <c r="S19" t="s">
        <v>61</v>
      </c>
      <c r="T19" t="s">
        <v>130</v>
      </c>
      <c r="U19" t="s">
        <v>61</v>
      </c>
      <c r="V19" t="s">
        <v>1758</v>
      </c>
      <c r="W19" t="s">
        <v>1713</v>
      </c>
      <c r="X19" t="s">
        <v>66</v>
      </c>
      <c r="Y19" t="s">
        <v>66</v>
      </c>
      <c r="Z19" t="s">
        <v>66</v>
      </c>
      <c r="AA19" t="s">
        <v>66</v>
      </c>
      <c r="AB19" t="s">
        <v>63</v>
      </c>
      <c r="AC19" t="s">
        <v>66</v>
      </c>
      <c r="AD19">
        <v>3</v>
      </c>
      <c r="AE19">
        <v>2</v>
      </c>
      <c r="AF19" t="s">
        <v>61</v>
      </c>
      <c r="AG19" t="s">
        <v>483</v>
      </c>
      <c r="AH19" t="s">
        <v>63</v>
      </c>
      <c r="AI19" t="s">
        <v>66</v>
      </c>
      <c r="AJ19" t="s">
        <v>61</v>
      </c>
      <c r="AK19" t="s">
        <v>66</v>
      </c>
      <c r="AL19" t="s">
        <v>61</v>
      </c>
      <c r="AM19" t="s">
        <v>66</v>
      </c>
      <c r="AN19">
        <v>0</v>
      </c>
      <c r="AO19" t="s">
        <v>63</v>
      </c>
      <c r="AP19" t="s">
        <v>66</v>
      </c>
      <c r="AQ19" t="s">
        <v>66</v>
      </c>
      <c r="AR19" t="s">
        <v>66</v>
      </c>
      <c r="AS19" t="s">
        <v>66</v>
      </c>
      <c r="AT19" t="s">
        <v>66</v>
      </c>
      <c r="AU19" t="s">
        <v>66</v>
      </c>
      <c r="AV19" t="s">
        <v>66</v>
      </c>
      <c r="AW19" t="s">
        <v>66</v>
      </c>
      <c r="AX19" t="s">
        <v>66</v>
      </c>
      <c r="AY19" t="s">
        <v>66</v>
      </c>
      <c r="AZ19" t="s">
        <v>66</v>
      </c>
      <c r="BA19" t="s">
        <v>66</v>
      </c>
      <c r="BB19">
        <v>180</v>
      </c>
      <c r="BC19" t="s">
        <v>219</v>
      </c>
      <c r="BD19" s="4" t="s">
        <v>258</v>
      </c>
      <c r="BE19" t="s">
        <v>484</v>
      </c>
      <c r="BF19" t="s">
        <v>104</v>
      </c>
      <c r="BG19" t="s">
        <v>79</v>
      </c>
      <c r="BH19" t="s">
        <v>485</v>
      </c>
      <c r="BI19" t="s">
        <v>486</v>
      </c>
      <c r="BJ19" s="3" t="s">
        <v>488</v>
      </c>
      <c r="BK19" t="s">
        <v>489</v>
      </c>
      <c r="BL19" s="4" t="s">
        <v>170</v>
      </c>
      <c r="BM19" s="4" t="s">
        <v>252</v>
      </c>
      <c r="BN19" s="4" t="s">
        <v>77</v>
      </c>
      <c r="BO19" s="4" t="s">
        <v>490</v>
      </c>
      <c r="BP19">
        <v>2000</v>
      </c>
      <c r="BQ19" t="s">
        <v>78</v>
      </c>
      <c r="BR19" s="4" t="s">
        <v>348</v>
      </c>
      <c r="BS19" t="s">
        <v>70</v>
      </c>
      <c r="BT19" s="4" t="s">
        <v>258</v>
      </c>
      <c r="BU19" s="4" t="s">
        <v>484</v>
      </c>
      <c r="BV19" t="s">
        <v>104</v>
      </c>
      <c r="BW19" t="s">
        <v>71</v>
      </c>
      <c r="BX19" t="s">
        <v>63</v>
      </c>
      <c r="BY19" s="5" t="s">
        <v>491</v>
      </c>
      <c r="BZ19" s="4" t="s">
        <v>279</v>
      </c>
      <c r="CA19" t="s">
        <v>492</v>
      </c>
      <c r="CB19" s="3" t="s">
        <v>333</v>
      </c>
      <c r="CC19" s="3" t="s">
        <v>73</v>
      </c>
      <c r="CD19" s="3" t="s">
        <v>222</v>
      </c>
      <c r="CE19" s="4" t="s">
        <v>493</v>
      </c>
      <c r="CF19" s="4" t="s">
        <v>177</v>
      </c>
      <c r="CG19" t="s">
        <v>78</v>
      </c>
      <c r="CH19">
        <v>32</v>
      </c>
      <c r="CI19" s="4" t="s">
        <v>66</v>
      </c>
      <c r="CJ19" s="4" t="s">
        <v>66</v>
      </c>
      <c r="CK19" s="4" t="s">
        <v>66</v>
      </c>
      <c r="CL19" s="4" t="s">
        <v>66</v>
      </c>
      <c r="CM19" s="4" t="s">
        <v>66</v>
      </c>
      <c r="CN19" s="4" t="s">
        <v>66</v>
      </c>
      <c r="CO19" s="4" t="s">
        <v>66</v>
      </c>
      <c r="CP19" s="4" t="s">
        <v>66</v>
      </c>
      <c r="CQ19" s="4" t="s">
        <v>66</v>
      </c>
      <c r="CR19" s="4" t="s">
        <v>66</v>
      </c>
      <c r="CS19" s="4" t="s">
        <v>66</v>
      </c>
      <c r="CT19" s="4" t="s">
        <v>66</v>
      </c>
      <c r="CU19" s="4" t="s">
        <v>66</v>
      </c>
      <c r="CV19" t="s">
        <v>546</v>
      </c>
      <c r="CW19" s="4" t="s">
        <v>819</v>
      </c>
      <c r="CY19" t="s">
        <v>1697</v>
      </c>
    </row>
    <row r="20" spans="1:103" x14ac:dyDescent="0.25">
      <c r="A20" t="s">
        <v>194</v>
      </c>
      <c r="B20" t="s">
        <v>125</v>
      </c>
      <c r="C20" s="1">
        <v>45887</v>
      </c>
      <c r="D20" t="s">
        <v>494</v>
      </c>
      <c r="E20" s="6">
        <v>42154834</v>
      </c>
      <c r="F20">
        <v>15</v>
      </c>
      <c r="G20">
        <v>15</v>
      </c>
      <c r="H20" t="s">
        <v>127</v>
      </c>
      <c r="I20" t="s">
        <v>127</v>
      </c>
      <c r="J20" t="s">
        <v>127</v>
      </c>
      <c r="K20" s="1">
        <v>30314</v>
      </c>
      <c r="L20" s="15">
        <f t="shared" si="0"/>
        <v>42</v>
      </c>
      <c r="M20" t="s">
        <v>59</v>
      </c>
      <c r="N20" t="s">
        <v>298</v>
      </c>
      <c r="O20" t="s">
        <v>60</v>
      </c>
      <c r="P20" t="s">
        <v>61</v>
      </c>
      <c r="Q20" t="s">
        <v>61</v>
      </c>
      <c r="R20" t="s">
        <v>426</v>
      </c>
      <c r="S20" t="s">
        <v>61</v>
      </c>
      <c r="T20" t="s">
        <v>130</v>
      </c>
      <c r="U20" t="s">
        <v>63</v>
      </c>
      <c r="V20" t="s">
        <v>66</v>
      </c>
      <c r="W20" t="s">
        <v>66</v>
      </c>
      <c r="X20" t="s">
        <v>66</v>
      </c>
      <c r="Y20" t="s">
        <v>66</v>
      </c>
      <c r="Z20" t="s">
        <v>66</v>
      </c>
      <c r="AA20" t="s">
        <v>66</v>
      </c>
      <c r="AB20" t="s">
        <v>61</v>
      </c>
      <c r="AC20" t="s">
        <v>213</v>
      </c>
      <c r="AD20">
        <v>0</v>
      </c>
      <c r="AE20">
        <v>2</v>
      </c>
      <c r="AF20" t="s">
        <v>63</v>
      </c>
      <c r="AG20" t="s">
        <v>66</v>
      </c>
      <c r="AH20" t="s">
        <v>63</v>
      </c>
      <c r="AI20" t="s">
        <v>66</v>
      </c>
      <c r="AJ20" t="s">
        <v>61</v>
      </c>
      <c r="AK20" t="s">
        <v>66</v>
      </c>
      <c r="AL20" t="s">
        <v>61</v>
      </c>
      <c r="AM20" t="s">
        <v>66</v>
      </c>
      <c r="AN20">
        <v>0</v>
      </c>
      <c r="AO20" t="s">
        <v>63</v>
      </c>
      <c r="AP20" t="s">
        <v>66</v>
      </c>
      <c r="AQ20" t="s">
        <v>66</v>
      </c>
      <c r="AR20" t="s">
        <v>66</v>
      </c>
      <c r="AS20" t="s">
        <v>66</v>
      </c>
      <c r="AT20" t="s">
        <v>66</v>
      </c>
      <c r="AU20" t="s">
        <v>66</v>
      </c>
      <c r="AV20" t="s">
        <v>66</v>
      </c>
      <c r="AW20" t="s">
        <v>66</v>
      </c>
      <c r="AX20" t="s">
        <v>66</v>
      </c>
      <c r="AY20" t="s">
        <v>66</v>
      </c>
      <c r="AZ20" t="s">
        <v>66</v>
      </c>
      <c r="BA20" t="s">
        <v>66</v>
      </c>
      <c r="BB20" t="s">
        <v>495</v>
      </c>
      <c r="BC20" t="s">
        <v>107</v>
      </c>
      <c r="BD20" s="4" t="s">
        <v>315</v>
      </c>
      <c r="BE20" t="s">
        <v>175</v>
      </c>
      <c r="BF20" t="s">
        <v>104</v>
      </c>
      <c r="BG20" t="s">
        <v>96</v>
      </c>
      <c r="BH20" t="s">
        <v>63</v>
      </c>
      <c r="BI20" t="s">
        <v>496</v>
      </c>
      <c r="BJ20" s="3" t="s">
        <v>487</v>
      </c>
      <c r="BK20" t="s">
        <v>497</v>
      </c>
      <c r="BL20" s="4" t="s">
        <v>225</v>
      </c>
      <c r="BM20" s="4" t="s">
        <v>80</v>
      </c>
      <c r="BN20" s="4" t="s">
        <v>428</v>
      </c>
      <c r="BO20" s="4" t="s">
        <v>172</v>
      </c>
      <c r="BP20" s="4" t="s">
        <v>498</v>
      </c>
      <c r="BQ20" t="s">
        <v>78</v>
      </c>
      <c r="BR20" s="4" t="s">
        <v>216</v>
      </c>
      <c r="BS20" s="4" t="s">
        <v>219</v>
      </c>
      <c r="BT20" s="4" t="s">
        <v>315</v>
      </c>
      <c r="BU20" s="4" t="s">
        <v>175</v>
      </c>
      <c r="BV20" t="s">
        <v>104</v>
      </c>
      <c r="BW20" t="s">
        <v>79</v>
      </c>
      <c r="BX20" s="4" t="s">
        <v>61</v>
      </c>
      <c r="BY20" t="s">
        <v>499</v>
      </c>
      <c r="BZ20" s="4" t="s">
        <v>487</v>
      </c>
      <c r="CA20" t="s">
        <v>500</v>
      </c>
      <c r="CB20" s="3" t="s">
        <v>501</v>
      </c>
      <c r="CC20" s="3" t="s">
        <v>252</v>
      </c>
      <c r="CD20" s="3" t="s">
        <v>144</v>
      </c>
      <c r="CE20" s="4" t="s">
        <v>502</v>
      </c>
      <c r="CF20" s="4" t="s">
        <v>229</v>
      </c>
      <c r="CG20" t="s">
        <v>78</v>
      </c>
      <c r="CH20" t="s">
        <v>93</v>
      </c>
      <c r="CI20" s="4" t="s">
        <v>66</v>
      </c>
      <c r="CJ20" s="4" t="s">
        <v>66</v>
      </c>
      <c r="CK20" s="4" t="s">
        <v>66</v>
      </c>
      <c r="CL20" s="4" t="s">
        <v>66</v>
      </c>
      <c r="CM20" s="4" t="s">
        <v>66</v>
      </c>
      <c r="CN20" s="4" t="s">
        <v>66</v>
      </c>
      <c r="CO20" s="4" t="s">
        <v>66</v>
      </c>
      <c r="CP20" s="4" t="s">
        <v>66</v>
      </c>
      <c r="CQ20" s="4" t="s">
        <v>66</v>
      </c>
      <c r="CR20" s="4" t="s">
        <v>66</v>
      </c>
      <c r="CS20" s="4" t="s">
        <v>66</v>
      </c>
      <c r="CT20" s="4" t="s">
        <v>66</v>
      </c>
      <c r="CU20" s="4" t="s">
        <v>66</v>
      </c>
      <c r="CV20" t="s">
        <v>547</v>
      </c>
      <c r="CW20" s="4" t="s">
        <v>503</v>
      </c>
    </row>
    <row r="21" spans="1:103" x14ac:dyDescent="0.25">
      <c r="A21" t="s">
        <v>195</v>
      </c>
      <c r="B21" t="s">
        <v>125</v>
      </c>
      <c r="C21" s="1">
        <v>45887</v>
      </c>
      <c r="D21" t="s">
        <v>504</v>
      </c>
      <c r="E21" s="6">
        <v>46412591</v>
      </c>
      <c r="F21">
        <v>12</v>
      </c>
      <c r="G21">
        <v>12</v>
      </c>
      <c r="H21" t="s">
        <v>127</v>
      </c>
      <c r="I21" t="s">
        <v>127</v>
      </c>
      <c r="J21" t="s">
        <v>505</v>
      </c>
      <c r="K21" s="1">
        <v>32740</v>
      </c>
      <c r="L21" s="15">
        <f t="shared" si="0"/>
        <v>36</v>
      </c>
      <c r="M21" t="s">
        <v>59</v>
      </c>
      <c r="N21" t="s">
        <v>89</v>
      </c>
      <c r="O21" t="s">
        <v>322</v>
      </c>
      <c r="P21" t="s">
        <v>61</v>
      </c>
      <c r="Q21" t="s">
        <v>506</v>
      </c>
      <c r="R21" t="s">
        <v>129</v>
      </c>
      <c r="S21" t="s">
        <v>63</v>
      </c>
      <c r="T21" t="s">
        <v>66</v>
      </c>
      <c r="U21" t="s">
        <v>63</v>
      </c>
      <c r="V21" t="s">
        <v>66</v>
      </c>
      <c r="W21" t="s">
        <v>66</v>
      </c>
      <c r="X21" t="s">
        <v>66</v>
      </c>
      <c r="Y21" t="s">
        <v>66</v>
      </c>
      <c r="Z21" t="s">
        <v>66</v>
      </c>
      <c r="AA21" t="s">
        <v>66</v>
      </c>
      <c r="AB21" t="s">
        <v>63</v>
      </c>
      <c r="AC21" t="s">
        <v>66</v>
      </c>
      <c r="AD21">
        <v>5</v>
      </c>
      <c r="AE21">
        <v>3</v>
      </c>
      <c r="AF21" t="s">
        <v>61</v>
      </c>
      <c r="AG21" t="s">
        <v>507</v>
      </c>
      <c r="AH21" t="s">
        <v>63</v>
      </c>
      <c r="AI21" t="s">
        <v>66</v>
      </c>
      <c r="AJ21" t="s">
        <v>61</v>
      </c>
      <c r="AK21" t="s">
        <v>66</v>
      </c>
      <c r="AL21" t="s">
        <v>61</v>
      </c>
      <c r="AM21" t="s">
        <v>66</v>
      </c>
      <c r="AN21">
        <v>1</v>
      </c>
      <c r="AO21" t="s">
        <v>63</v>
      </c>
      <c r="AP21" t="s">
        <v>509</v>
      </c>
      <c r="AQ21" t="s">
        <v>508</v>
      </c>
      <c r="AR21" t="s">
        <v>63</v>
      </c>
      <c r="AS21" t="s">
        <v>63</v>
      </c>
      <c r="AT21" t="s">
        <v>61</v>
      </c>
      <c r="AU21">
        <v>10</v>
      </c>
      <c r="AV21" t="s">
        <v>66</v>
      </c>
      <c r="AW21" t="s">
        <v>66</v>
      </c>
      <c r="AX21" t="s">
        <v>66</v>
      </c>
      <c r="AY21" t="s">
        <v>66</v>
      </c>
      <c r="AZ21" t="s">
        <v>66</v>
      </c>
      <c r="BA21" t="s">
        <v>66</v>
      </c>
      <c r="BB21" t="s">
        <v>510</v>
      </c>
      <c r="BC21" t="s">
        <v>70</v>
      </c>
      <c r="BD21" s="4" t="s">
        <v>467</v>
      </c>
      <c r="BE21" t="s">
        <v>511</v>
      </c>
      <c r="BF21" t="s">
        <v>104</v>
      </c>
      <c r="BG21" t="s">
        <v>71</v>
      </c>
      <c r="BH21" t="s">
        <v>63</v>
      </c>
      <c r="BI21" t="s">
        <v>330</v>
      </c>
      <c r="BJ21" s="3" t="s">
        <v>274</v>
      </c>
      <c r="BK21" t="s">
        <v>512</v>
      </c>
      <c r="BL21" s="4" t="s">
        <v>175</v>
      </c>
      <c r="BM21" s="4" t="s">
        <v>260</v>
      </c>
      <c r="BN21" s="4" t="s">
        <v>84</v>
      </c>
      <c r="BO21" s="4" t="s">
        <v>513</v>
      </c>
      <c r="BP21" s="4" t="s">
        <v>514</v>
      </c>
      <c r="BQ21" t="s">
        <v>78</v>
      </c>
      <c r="BR21" s="4" t="s">
        <v>515</v>
      </c>
      <c r="BS21" s="4" t="s">
        <v>66</v>
      </c>
      <c r="BT21" s="4" t="s">
        <v>66</v>
      </c>
      <c r="BU21" s="4" t="s">
        <v>66</v>
      </c>
      <c r="BV21" s="4" t="s">
        <v>66</v>
      </c>
      <c r="BW21" s="4" t="s">
        <v>66</v>
      </c>
      <c r="BX21" s="4" t="s">
        <v>66</v>
      </c>
      <c r="BY21" s="4" t="s">
        <v>66</v>
      </c>
      <c r="BZ21" s="4" t="s">
        <v>66</v>
      </c>
      <c r="CA21" s="4" t="s">
        <v>66</v>
      </c>
      <c r="CB21" s="4" t="s">
        <v>66</v>
      </c>
      <c r="CC21" s="4" t="s">
        <v>66</v>
      </c>
      <c r="CD21" s="4" t="s">
        <v>66</v>
      </c>
      <c r="CE21" s="4" t="s">
        <v>66</v>
      </c>
      <c r="CF21" s="4" t="s">
        <v>66</v>
      </c>
      <c r="CG21" s="4" t="s">
        <v>66</v>
      </c>
      <c r="CH21" s="4" t="s">
        <v>66</v>
      </c>
      <c r="CI21" s="4" t="s">
        <v>66</v>
      </c>
      <c r="CJ21" s="4" t="s">
        <v>66</v>
      </c>
      <c r="CK21" s="4" t="s">
        <v>66</v>
      </c>
      <c r="CL21" s="4" t="s">
        <v>66</v>
      </c>
      <c r="CM21" s="4" t="s">
        <v>66</v>
      </c>
      <c r="CN21" s="4" t="s">
        <v>66</v>
      </c>
      <c r="CO21" s="4" t="s">
        <v>66</v>
      </c>
      <c r="CP21" s="4" t="s">
        <v>66</v>
      </c>
      <c r="CQ21" s="4" t="s">
        <v>66</v>
      </c>
      <c r="CR21" s="4" t="s">
        <v>66</v>
      </c>
      <c r="CS21" s="4" t="s">
        <v>66</v>
      </c>
      <c r="CT21" s="4" t="s">
        <v>66</v>
      </c>
      <c r="CU21" s="4" t="s">
        <v>66</v>
      </c>
      <c r="CV21" t="s">
        <v>548</v>
      </c>
      <c r="CW21" s="4" t="s">
        <v>516</v>
      </c>
      <c r="CY21" t="s">
        <v>1698</v>
      </c>
    </row>
    <row r="22" spans="1:103" x14ac:dyDescent="0.25">
      <c r="A22" t="s">
        <v>196</v>
      </c>
      <c r="B22" t="s">
        <v>125</v>
      </c>
      <c r="C22" s="1">
        <v>45887</v>
      </c>
      <c r="D22" t="s">
        <v>518</v>
      </c>
      <c r="E22" s="7" t="s">
        <v>517</v>
      </c>
      <c r="F22">
        <v>43</v>
      </c>
      <c r="G22">
        <v>41</v>
      </c>
      <c r="H22" t="s">
        <v>127</v>
      </c>
      <c r="I22" t="s">
        <v>127</v>
      </c>
      <c r="J22" t="s">
        <v>519</v>
      </c>
      <c r="K22" s="1">
        <v>25679</v>
      </c>
      <c r="L22" s="15">
        <f t="shared" si="0"/>
        <v>55</v>
      </c>
      <c r="M22" t="s">
        <v>59</v>
      </c>
      <c r="N22" t="s">
        <v>89</v>
      </c>
      <c r="O22" t="s">
        <v>322</v>
      </c>
      <c r="P22" t="s">
        <v>61</v>
      </c>
      <c r="Q22" t="s">
        <v>61</v>
      </c>
      <c r="R22" t="s">
        <v>62</v>
      </c>
      <c r="S22" t="s">
        <v>61</v>
      </c>
      <c r="T22" t="s">
        <v>130</v>
      </c>
      <c r="U22" t="s">
        <v>61</v>
      </c>
      <c r="V22" t="s">
        <v>1728</v>
      </c>
      <c r="W22" t="s">
        <v>1714</v>
      </c>
      <c r="X22" t="s">
        <v>1758</v>
      </c>
      <c r="Y22" t="s">
        <v>1714</v>
      </c>
      <c r="Z22" t="s">
        <v>1748</v>
      </c>
      <c r="AA22" t="s">
        <v>1714</v>
      </c>
      <c r="AB22" t="s">
        <v>63</v>
      </c>
      <c r="AC22" t="s">
        <v>66</v>
      </c>
      <c r="AD22">
        <v>1</v>
      </c>
      <c r="AE22">
        <v>3</v>
      </c>
      <c r="AF22" t="s">
        <v>61</v>
      </c>
      <c r="AG22" t="s">
        <v>520</v>
      </c>
      <c r="AH22" t="s">
        <v>61</v>
      </c>
      <c r="AI22" t="s">
        <v>521</v>
      </c>
      <c r="AJ22" t="s">
        <v>61</v>
      </c>
      <c r="AK22" t="s">
        <v>66</v>
      </c>
      <c r="AL22" t="s">
        <v>61</v>
      </c>
      <c r="AM22" t="s">
        <v>66</v>
      </c>
      <c r="AN22" t="s">
        <v>268</v>
      </c>
      <c r="AO22" t="s">
        <v>61</v>
      </c>
      <c r="AP22" t="s">
        <v>522</v>
      </c>
      <c r="AQ22" t="s">
        <v>523</v>
      </c>
      <c r="AR22" t="s">
        <v>63</v>
      </c>
      <c r="AS22" t="s">
        <v>63</v>
      </c>
      <c r="AT22" t="s">
        <v>61</v>
      </c>
      <c r="AU22">
        <v>8</v>
      </c>
      <c r="AV22" t="s">
        <v>66</v>
      </c>
      <c r="AW22" t="s">
        <v>66</v>
      </c>
      <c r="AX22" t="s">
        <v>66</v>
      </c>
      <c r="AY22" t="s">
        <v>66</v>
      </c>
      <c r="AZ22" t="s">
        <v>66</v>
      </c>
      <c r="BA22" t="s">
        <v>66</v>
      </c>
      <c r="BB22" t="s">
        <v>524</v>
      </c>
      <c r="BC22" t="s">
        <v>107</v>
      </c>
      <c r="BD22" s="4" t="s">
        <v>314</v>
      </c>
      <c r="BE22" t="s">
        <v>525</v>
      </c>
      <c r="BF22" t="s">
        <v>104</v>
      </c>
      <c r="BG22" t="s">
        <v>96</v>
      </c>
      <c r="BH22" t="s">
        <v>63</v>
      </c>
      <c r="BI22" t="s">
        <v>98</v>
      </c>
      <c r="BJ22" s="3" t="s">
        <v>526</v>
      </c>
      <c r="BK22" t="s">
        <v>527</v>
      </c>
      <c r="BL22" s="4" t="s">
        <v>396</v>
      </c>
      <c r="BM22" s="4" t="s">
        <v>80</v>
      </c>
      <c r="BN22" s="4" t="s">
        <v>528</v>
      </c>
      <c r="BO22" s="4" t="s">
        <v>282</v>
      </c>
      <c r="BP22">
        <v>2000</v>
      </c>
      <c r="BQ22" t="s">
        <v>78</v>
      </c>
      <c r="BR22" s="4" t="s">
        <v>77</v>
      </c>
      <c r="BS22" s="26" t="s">
        <v>107</v>
      </c>
      <c r="BT22" s="27" t="s">
        <v>258</v>
      </c>
      <c r="BU22" s="26" t="s">
        <v>525</v>
      </c>
      <c r="BV22" s="26" t="s">
        <v>104</v>
      </c>
      <c r="BW22" s="26" t="s">
        <v>79</v>
      </c>
      <c r="BX22" t="s">
        <v>63</v>
      </c>
      <c r="BY22" t="s">
        <v>98</v>
      </c>
      <c r="BZ22" s="3" t="s">
        <v>170</v>
      </c>
      <c r="CA22" t="s">
        <v>529</v>
      </c>
      <c r="CB22" s="3" t="s">
        <v>85</v>
      </c>
      <c r="CC22" s="3" t="s">
        <v>225</v>
      </c>
      <c r="CD22" s="3" t="s">
        <v>175</v>
      </c>
      <c r="CE22" s="4" t="s">
        <v>282</v>
      </c>
      <c r="CF22">
        <v>20000</v>
      </c>
      <c r="CG22" t="s">
        <v>78</v>
      </c>
      <c r="CH22" s="3" t="s">
        <v>530</v>
      </c>
      <c r="CI22" s="4" t="s">
        <v>66</v>
      </c>
      <c r="CJ22" s="4" t="s">
        <v>66</v>
      </c>
      <c r="CK22" s="4" t="s">
        <v>66</v>
      </c>
      <c r="CL22" s="4" t="s">
        <v>66</v>
      </c>
      <c r="CM22" s="4" t="s">
        <v>66</v>
      </c>
      <c r="CN22" s="4" t="s">
        <v>66</v>
      </c>
      <c r="CO22" s="4" t="s">
        <v>66</v>
      </c>
      <c r="CP22" s="4" t="s">
        <v>66</v>
      </c>
      <c r="CQ22" s="4" t="s">
        <v>66</v>
      </c>
      <c r="CR22" s="4" t="s">
        <v>66</v>
      </c>
      <c r="CS22" s="4" t="s">
        <v>66</v>
      </c>
      <c r="CT22" s="4" t="s">
        <v>66</v>
      </c>
      <c r="CU22" s="4" t="s">
        <v>66</v>
      </c>
      <c r="CV22" t="s">
        <v>549</v>
      </c>
      <c r="CW22" s="4" t="s">
        <v>1687</v>
      </c>
    </row>
    <row r="23" spans="1:103" x14ac:dyDescent="0.25">
      <c r="A23" t="s">
        <v>197</v>
      </c>
      <c r="B23" t="s">
        <v>125</v>
      </c>
      <c r="C23" s="1">
        <v>45887</v>
      </c>
      <c r="D23" t="s">
        <v>550</v>
      </c>
      <c r="E23" s="6">
        <v>44354186</v>
      </c>
      <c r="F23">
        <v>20</v>
      </c>
      <c r="G23">
        <v>20</v>
      </c>
      <c r="H23" t="s">
        <v>127</v>
      </c>
      <c r="I23" t="s">
        <v>127</v>
      </c>
      <c r="J23" t="s">
        <v>284</v>
      </c>
      <c r="K23" s="1">
        <v>31592</v>
      </c>
      <c r="L23" s="15">
        <f t="shared" si="0"/>
        <v>39</v>
      </c>
      <c r="M23" t="s">
        <v>59</v>
      </c>
      <c r="N23" t="s">
        <v>108</v>
      </c>
      <c r="O23" t="s">
        <v>60</v>
      </c>
      <c r="P23" t="s">
        <v>61</v>
      </c>
      <c r="Q23" t="s">
        <v>61</v>
      </c>
      <c r="R23" t="s">
        <v>285</v>
      </c>
      <c r="S23" t="s">
        <v>61</v>
      </c>
      <c r="T23" t="s">
        <v>130</v>
      </c>
      <c r="U23" t="s">
        <v>61</v>
      </c>
      <c r="V23" t="s">
        <v>1728</v>
      </c>
      <c r="W23" t="s">
        <v>1715</v>
      </c>
      <c r="X23" t="s">
        <v>66</v>
      </c>
      <c r="Y23" t="s">
        <v>66</v>
      </c>
      <c r="Z23" t="s">
        <v>66</v>
      </c>
      <c r="AA23" t="s">
        <v>66</v>
      </c>
      <c r="AB23" t="s">
        <v>63</v>
      </c>
      <c r="AC23" t="s">
        <v>66</v>
      </c>
      <c r="AD23">
        <v>5</v>
      </c>
      <c r="AE23">
        <v>2</v>
      </c>
      <c r="AF23" t="s">
        <v>61</v>
      </c>
      <c r="AG23" t="s">
        <v>132</v>
      </c>
      <c r="AH23" t="s">
        <v>63</v>
      </c>
      <c r="AI23" t="s">
        <v>66</v>
      </c>
      <c r="AJ23" t="s">
        <v>61</v>
      </c>
      <c r="AK23" t="s">
        <v>66</v>
      </c>
      <c r="AL23" t="s">
        <v>61</v>
      </c>
      <c r="AM23" t="s">
        <v>66</v>
      </c>
      <c r="AN23">
        <v>1</v>
      </c>
      <c r="AO23" t="s">
        <v>61</v>
      </c>
      <c r="AP23" t="s">
        <v>551</v>
      </c>
      <c r="AQ23" t="s">
        <v>552</v>
      </c>
      <c r="AR23" t="s">
        <v>63</v>
      </c>
      <c r="AS23" t="s">
        <v>63</v>
      </c>
      <c r="AT23" t="s">
        <v>61</v>
      </c>
      <c r="AU23">
        <v>4.5</v>
      </c>
      <c r="AV23" t="s">
        <v>66</v>
      </c>
      <c r="AW23" t="s">
        <v>66</v>
      </c>
      <c r="AX23" t="s">
        <v>66</v>
      </c>
      <c r="AY23" t="s">
        <v>66</v>
      </c>
      <c r="AZ23" t="s">
        <v>66</v>
      </c>
      <c r="BA23" t="s">
        <v>66</v>
      </c>
      <c r="BB23">
        <v>120</v>
      </c>
      <c r="BC23" t="s">
        <v>107</v>
      </c>
      <c r="BD23" s="4" t="s">
        <v>258</v>
      </c>
      <c r="BE23" t="s">
        <v>553</v>
      </c>
      <c r="BF23" t="s">
        <v>104</v>
      </c>
      <c r="BG23" t="s">
        <v>96</v>
      </c>
      <c r="BH23" t="s">
        <v>63</v>
      </c>
      <c r="BI23" t="s">
        <v>554</v>
      </c>
      <c r="BJ23" s="3" t="s">
        <v>222</v>
      </c>
      <c r="BK23" t="s">
        <v>555</v>
      </c>
      <c r="BL23" s="4" t="s">
        <v>408</v>
      </c>
      <c r="BM23" s="4" t="s">
        <v>142</v>
      </c>
      <c r="BN23" s="4" t="s">
        <v>556</v>
      </c>
      <c r="BO23" s="4" t="s">
        <v>250</v>
      </c>
      <c r="BP23">
        <v>4000</v>
      </c>
      <c r="BQ23" t="s">
        <v>78</v>
      </c>
      <c r="BR23" s="4" t="s">
        <v>103</v>
      </c>
      <c r="BS23" t="s">
        <v>161</v>
      </c>
      <c r="BT23" s="4" t="s">
        <v>258</v>
      </c>
      <c r="BU23" s="4" t="s">
        <v>553</v>
      </c>
      <c r="BV23" t="s">
        <v>104</v>
      </c>
      <c r="BW23" t="s">
        <v>163</v>
      </c>
      <c r="BX23" t="s">
        <v>63</v>
      </c>
      <c r="BY23" t="s">
        <v>167</v>
      </c>
      <c r="BZ23" s="4" t="s">
        <v>557</v>
      </c>
      <c r="CA23" t="s">
        <v>293</v>
      </c>
      <c r="CB23" s="3" t="s">
        <v>408</v>
      </c>
      <c r="CC23" s="4" t="s">
        <v>93</v>
      </c>
      <c r="CD23" s="4" t="s">
        <v>93</v>
      </c>
      <c r="CE23" s="4" t="s">
        <v>140</v>
      </c>
      <c r="CF23">
        <v>4000</v>
      </c>
      <c r="CG23" t="s">
        <v>78</v>
      </c>
      <c r="CH23" s="3" t="s">
        <v>558</v>
      </c>
      <c r="CI23" s="4" t="s">
        <v>66</v>
      </c>
      <c r="CJ23" s="4" t="s">
        <v>66</v>
      </c>
      <c r="CK23" s="4" t="s">
        <v>66</v>
      </c>
      <c r="CL23" s="4" t="s">
        <v>66</v>
      </c>
      <c r="CM23" s="4" t="s">
        <v>66</v>
      </c>
      <c r="CN23" s="4" t="s">
        <v>66</v>
      </c>
      <c r="CO23" s="4" t="s">
        <v>66</v>
      </c>
      <c r="CP23" s="4" t="s">
        <v>66</v>
      </c>
      <c r="CQ23" s="4" t="s">
        <v>66</v>
      </c>
      <c r="CR23" s="4" t="s">
        <v>66</v>
      </c>
      <c r="CS23" s="4" t="s">
        <v>66</v>
      </c>
      <c r="CT23" s="4" t="s">
        <v>66</v>
      </c>
      <c r="CU23" s="4" t="s">
        <v>66</v>
      </c>
      <c r="CV23" t="s">
        <v>559</v>
      </c>
      <c r="CW23" s="4" t="s">
        <v>560</v>
      </c>
    </row>
    <row r="24" spans="1:103" x14ac:dyDescent="0.25">
      <c r="A24" t="s">
        <v>198</v>
      </c>
      <c r="B24" t="s">
        <v>125</v>
      </c>
      <c r="C24" s="1">
        <v>45887</v>
      </c>
      <c r="D24" t="s">
        <v>562</v>
      </c>
      <c r="E24" s="7" t="s">
        <v>561</v>
      </c>
      <c r="F24">
        <v>51</v>
      </c>
      <c r="G24">
        <v>35</v>
      </c>
      <c r="H24" t="s">
        <v>127</v>
      </c>
      <c r="I24" t="s">
        <v>127</v>
      </c>
      <c r="J24" t="s">
        <v>563</v>
      </c>
      <c r="K24" s="1">
        <v>18486</v>
      </c>
      <c r="L24" s="15">
        <f t="shared" si="0"/>
        <v>75</v>
      </c>
      <c r="M24" t="s">
        <v>59</v>
      </c>
      <c r="N24" t="s">
        <v>108</v>
      </c>
      <c r="O24" t="s">
        <v>322</v>
      </c>
      <c r="P24" t="s">
        <v>61</v>
      </c>
      <c r="Q24" t="s">
        <v>61</v>
      </c>
      <c r="R24" t="s">
        <v>285</v>
      </c>
      <c r="S24" t="s">
        <v>61</v>
      </c>
      <c r="T24" t="s">
        <v>130</v>
      </c>
      <c r="U24" t="s">
        <v>63</v>
      </c>
      <c r="V24" t="s">
        <v>66</v>
      </c>
      <c r="W24" t="s">
        <v>66</v>
      </c>
      <c r="X24" t="s">
        <v>66</v>
      </c>
      <c r="Y24" t="s">
        <v>66</v>
      </c>
      <c r="Z24" t="s">
        <v>66</v>
      </c>
      <c r="AA24" t="s">
        <v>66</v>
      </c>
      <c r="AB24" t="s">
        <v>63</v>
      </c>
      <c r="AC24" t="s">
        <v>66</v>
      </c>
      <c r="AD24">
        <v>1</v>
      </c>
      <c r="AE24">
        <v>2</v>
      </c>
      <c r="AF24" t="s">
        <v>61</v>
      </c>
      <c r="AG24" t="s">
        <v>417</v>
      </c>
      <c r="AH24" t="s">
        <v>63</v>
      </c>
      <c r="AI24" t="s">
        <v>66</v>
      </c>
      <c r="AJ24" t="s">
        <v>61</v>
      </c>
      <c r="AK24" t="s">
        <v>66</v>
      </c>
      <c r="AL24" t="s">
        <v>61</v>
      </c>
      <c r="AM24" t="s">
        <v>66</v>
      </c>
      <c r="AN24">
        <v>1</v>
      </c>
      <c r="AO24" t="s">
        <v>61</v>
      </c>
      <c r="AP24" t="s">
        <v>564</v>
      </c>
      <c r="AQ24" t="s">
        <v>565</v>
      </c>
      <c r="AR24" t="s">
        <v>63</v>
      </c>
      <c r="AS24" t="s">
        <v>63</v>
      </c>
      <c r="AT24" t="s">
        <v>61</v>
      </c>
      <c r="AU24">
        <v>10</v>
      </c>
      <c r="AV24" t="s">
        <v>66</v>
      </c>
      <c r="AW24" t="s">
        <v>66</v>
      </c>
      <c r="AX24" t="s">
        <v>66</v>
      </c>
      <c r="AY24" t="s">
        <v>66</v>
      </c>
      <c r="AZ24" t="s">
        <v>66</v>
      </c>
      <c r="BA24" t="s">
        <v>66</v>
      </c>
      <c r="BB24" t="s">
        <v>571</v>
      </c>
      <c r="BC24" t="s">
        <v>161</v>
      </c>
      <c r="BD24" s="4" t="s">
        <v>258</v>
      </c>
      <c r="BE24" t="s">
        <v>376</v>
      </c>
      <c r="BF24" t="s">
        <v>104</v>
      </c>
      <c r="BG24" t="s">
        <v>163</v>
      </c>
      <c r="BH24" t="s">
        <v>63</v>
      </c>
      <c r="BI24" t="s">
        <v>167</v>
      </c>
      <c r="BJ24" s="3" t="s">
        <v>168</v>
      </c>
      <c r="BK24" t="s">
        <v>164</v>
      </c>
      <c r="BL24" s="4" t="s">
        <v>566</v>
      </c>
      <c r="BM24" s="4" t="s">
        <v>93</v>
      </c>
      <c r="BN24" s="4" t="s">
        <v>93</v>
      </c>
      <c r="BO24" s="4" t="s">
        <v>567</v>
      </c>
      <c r="BP24" s="4" t="s">
        <v>568</v>
      </c>
      <c r="BQ24" t="s">
        <v>78</v>
      </c>
      <c r="BR24" s="4" t="s">
        <v>391</v>
      </c>
      <c r="BS24" s="4" t="s">
        <v>66</v>
      </c>
      <c r="BT24" s="4" t="s">
        <v>66</v>
      </c>
      <c r="BU24" s="4" t="s">
        <v>66</v>
      </c>
      <c r="BV24" s="4" t="s">
        <v>66</v>
      </c>
      <c r="BW24" s="4" t="s">
        <v>66</v>
      </c>
      <c r="BX24" s="4" t="s">
        <v>66</v>
      </c>
      <c r="BY24" s="4" t="s">
        <v>66</v>
      </c>
      <c r="BZ24" s="4" t="s">
        <v>66</v>
      </c>
      <c r="CA24" s="4" t="s">
        <v>66</v>
      </c>
      <c r="CB24" s="4" t="s">
        <v>66</v>
      </c>
      <c r="CC24" s="4" t="s">
        <v>66</v>
      </c>
      <c r="CD24" s="4" t="s">
        <v>66</v>
      </c>
      <c r="CE24" s="4" t="s">
        <v>66</v>
      </c>
      <c r="CF24" s="4" t="s">
        <v>66</v>
      </c>
      <c r="CG24" s="4" t="s">
        <v>66</v>
      </c>
      <c r="CH24" s="4" t="s">
        <v>66</v>
      </c>
      <c r="CI24" s="4" t="s">
        <v>66</v>
      </c>
      <c r="CJ24" s="4" t="s">
        <v>66</v>
      </c>
      <c r="CK24" s="4" t="s">
        <v>66</v>
      </c>
      <c r="CL24" s="4" t="s">
        <v>66</v>
      </c>
      <c r="CM24" s="4" t="s">
        <v>66</v>
      </c>
      <c r="CN24" s="4" t="s">
        <v>66</v>
      </c>
      <c r="CO24" s="4" t="s">
        <v>66</v>
      </c>
      <c r="CP24" s="4" t="s">
        <v>66</v>
      </c>
      <c r="CQ24" s="4" t="s">
        <v>66</v>
      </c>
      <c r="CR24" s="4" t="s">
        <v>66</v>
      </c>
      <c r="CS24" s="4" t="s">
        <v>66</v>
      </c>
      <c r="CT24" s="4" t="s">
        <v>66</v>
      </c>
      <c r="CU24" s="4" t="s">
        <v>66</v>
      </c>
      <c r="CV24" t="s">
        <v>569</v>
      </c>
      <c r="CW24" s="4" t="s">
        <v>570</v>
      </c>
    </row>
    <row r="25" spans="1:103" x14ac:dyDescent="0.25">
      <c r="A25" t="s">
        <v>199</v>
      </c>
      <c r="B25" t="s">
        <v>125</v>
      </c>
      <c r="C25" s="1">
        <v>45887</v>
      </c>
      <c r="D25" t="s">
        <v>573</v>
      </c>
      <c r="E25" s="7" t="s">
        <v>572</v>
      </c>
      <c r="F25">
        <v>30</v>
      </c>
      <c r="G25">
        <v>20</v>
      </c>
      <c r="H25" t="s">
        <v>127</v>
      </c>
      <c r="I25" t="s">
        <v>127</v>
      </c>
      <c r="J25" t="s">
        <v>127</v>
      </c>
      <c r="K25" s="1">
        <v>25713</v>
      </c>
      <c r="L25" s="15">
        <f t="shared" si="0"/>
        <v>55</v>
      </c>
      <c r="M25" t="s">
        <v>59</v>
      </c>
      <c r="N25" t="s">
        <v>108</v>
      </c>
      <c r="O25" t="s">
        <v>90</v>
      </c>
      <c r="P25" t="s">
        <v>61</v>
      </c>
      <c r="Q25" t="s">
        <v>61</v>
      </c>
      <c r="R25" t="s">
        <v>62</v>
      </c>
      <c r="S25" t="s">
        <v>574</v>
      </c>
      <c r="T25" t="s">
        <v>575</v>
      </c>
      <c r="U25" t="s">
        <v>63</v>
      </c>
      <c r="V25" t="s">
        <v>66</v>
      </c>
      <c r="W25" t="s">
        <v>66</v>
      </c>
      <c r="X25" t="s">
        <v>66</v>
      </c>
      <c r="Y25" t="s">
        <v>66</v>
      </c>
      <c r="Z25" t="s">
        <v>66</v>
      </c>
      <c r="AA25" t="s">
        <v>66</v>
      </c>
      <c r="AB25" t="s">
        <v>63</v>
      </c>
      <c r="AC25" t="s">
        <v>66</v>
      </c>
      <c r="AD25">
        <v>1</v>
      </c>
      <c r="AE25">
        <v>3</v>
      </c>
      <c r="AF25" t="s">
        <v>61</v>
      </c>
      <c r="AG25" t="s">
        <v>132</v>
      </c>
      <c r="AH25" t="s">
        <v>63</v>
      </c>
      <c r="AI25" t="s">
        <v>66</v>
      </c>
      <c r="AJ25" t="s">
        <v>63</v>
      </c>
      <c r="AK25" t="s">
        <v>153</v>
      </c>
      <c r="AL25" t="s">
        <v>63</v>
      </c>
      <c r="AM25" t="s">
        <v>576</v>
      </c>
      <c r="AN25">
        <v>1</v>
      </c>
      <c r="AO25" t="s">
        <v>61</v>
      </c>
      <c r="AP25" t="s">
        <v>577</v>
      </c>
      <c r="AQ25" t="s">
        <v>578</v>
      </c>
      <c r="AR25" t="s">
        <v>61</v>
      </c>
      <c r="AS25" t="s">
        <v>61</v>
      </c>
      <c r="AT25" t="s">
        <v>61</v>
      </c>
      <c r="AU25">
        <v>12</v>
      </c>
      <c r="AV25" t="s">
        <v>66</v>
      </c>
      <c r="AW25" t="s">
        <v>66</v>
      </c>
      <c r="AX25" t="s">
        <v>66</v>
      </c>
      <c r="AY25" t="s">
        <v>66</v>
      </c>
      <c r="AZ25" t="s">
        <v>66</v>
      </c>
      <c r="BA25" t="s">
        <v>66</v>
      </c>
      <c r="BB25" t="s">
        <v>579</v>
      </c>
      <c r="BC25" t="s">
        <v>161</v>
      </c>
      <c r="BD25" s="4" t="s">
        <v>170</v>
      </c>
      <c r="BE25" t="s">
        <v>136</v>
      </c>
      <c r="BF25" t="s">
        <v>104</v>
      </c>
      <c r="BG25" t="s">
        <v>163</v>
      </c>
      <c r="BH25" t="s">
        <v>63</v>
      </c>
      <c r="BI25" t="s">
        <v>167</v>
      </c>
      <c r="BJ25" s="3" t="s">
        <v>582</v>
      </c>
      <c r="BK25" t="s">
        <v>581</v>
      </c>
      <c r="BL25" s="4" t="s">
        <v>580</v>
      </c>
      <c r="BM25" s="4" t="s">
        <v>93</v>
      </c>
      <c r="BN25" s="4" t="s">
        <v>93</v>
      </c>
      <c r="BO25" s="4" t="s">
        <v>93</v>
      </c>
      <c r="BP25" s="4" t="s">
        <v>583</v>
      </c>
      <c r="BQ25" t="s">
        <v>78</v>
      </c>
      <c r="BR25" s="4" t="s">
        <v>584</v>
      </c>
      <c r="BS25" s="4" t="s">
        <v>219</v>
      </c>
      <c r="BT25" s="4" t="s">
        <v>170</v>
      </c>
      <c r="BU25" t="s">
        <v>136</v>
      </c>
      <c r="BV25" t="s">
        <v>104</v>
      </c>
      <c r="BW25" t="s">
        <v>79</v>
      </c>
      <c r="BX25" s="4" t="s">
        <v>61</v>
      </c>
      <c r="BY25" t="s">
        <v>554</v>
      </c>
      <c r="BZ25" s="4" t="s">
        <v>589</v>
      </c>
      <c r="CA25" t="s">
        <v>585</v>
      </c>
      <c r="CB25" s="3" t="s">
        <v>586</v>
      </c>
      <c r="CC25" s="3" t="s">
        <v>225</v>
      </c>
      <c r="CD25" s="3" t="s">
        <v>83</v>
      </c>
      <c r="CE25" s="4" t="s">
        <v>587</v>
      </c>
      <c r="CF25" s="4" t="s">
        <v>588</v>
      </c>
      <c r="CG25" t="s">
        <v>78</v>
      </c>
      <c r="CH25" s="3" t="s">
        <v>170</v>
      </c>
      <c r="CI25" s="4" t="s">
        <v>219</v>
      </c>
      <c r="CJ25" s="4" t="s">
        <v>393</v>
      </c>
      <c r="CK25" s="4" t="s">
        <v>450</v>
      </c>
      <c r="CL25" t="s">
        <v>554</v>
      </c>
      <c r="CM25" s="4" t="s">
        <v>258</v>
      </c>
      <c r="CN25" t="s">
        <v>585</v>
      </c>
      <c r="CO25" s="3" t="s">
        <v>484</v>
      </c>
      <c r="CP25" s="4" t="s">
        <v>84</v>
      </c>
      <c r="CQ25" s="3" t="s">
        <v>76</v>
      </c>
      <c r="CR25" s="4" t="s">
        <v>590</v>
      </c>
      <c r="CS25" s="4" t="s">
        <v>256</v>
      </c>
      <c r="CT25" t="s">
        <v>78</v>
      </c>
      <c r="CU25" s="3" t="s">
        <v>591</v>
      </c>
      <c r="CV25" t="s">
        <v>592</v>
      </c>
      <c r="CW25" s="4" t="s">
        <v>593</v>
      </c>
    </row>
    <row r="26" spans="1:103" x14ac:dyDescent="0.25">
      <c r="A26" t="s">
        <v>200</v>
      </c>
      <c r="B26" t="s">
        <v>125</v>
      </c>
      <c r="C26" s="1">
        <v>45888</v>
      </c>
      <c r="D26" t="s">
        <v>594</v>
      </c>
      <c r="E26" s="6">
        <v>80265947</v>
      </c>
      <c r="F26">
        <v>34</v>
      </c>
      <c r="G26">
        <v>29</v>
      </c>
      <c r="H26" t="s">
        <v>605</v>
      </c>
      <c r="I26" t="s">
        <v>127</v>
      </c>
      <c r="J26" t="s">
        <v>127</v>
      </c>
      <c r="K26" s="1">
        <v>28004</v>
      </c>
      <c r="L26" s="15">
        <f t="shared" si="0"/>
        <v>48</v>
      </c>
      <c r="M26" t="s">
        <v>59</v>
      </c>
      <c r="N26" t="s">
        <v>89</v>
      </c>
      <c r="O26" t="s">
        <v>322</v>
      </c>
      <c r="P26" t="s">
        <v>61</v>
      </c>
      <c r="Q26" t="s">
        <v>506</v>
      </c>
      <c r="R26" t="s">
        <v>129</v>
      </c>
      <c r="S26" t="s">
        <v>63</v>
      </c>
      <c r="T26" t="s">
        <v>66</v>
      </c>
      <c r="U26" t="s">
        <v>61</v>
      </c>
      <c r="V26" t="s">
        <v>1758</v>
      </c>
      <c r="W26" t="s">
        <v>1710</v>
      </c>
      <c r="X26" t="s">
        <v>66</v>
      </c>
      <c r="Y26" t="s">
        <v>66</v>
      </c>
      <c r="Z26" t="s">
        <v>66</v>
      </c>
      <c r="AA26" t="s">
        <v>66</v>
      </c>
      <c r="AB26" t="s">
        <v>63</v>
      </c>
      <c r="AC26" t="s">
        <v>66</v>
      </c>
      <c r="AD26">
        <v>3</v>
      </c>
      <c r="AE26">
        <v>2</v>
      </c>
      <c r="AF26" t="s">
        <v>63</v>
      </c>
      <c r="AG26" t="s">
        <v>66</v>
      </c>
      <c r="AH26" t="s">
        <v>63</v>
      </c>
      <c r="AI26" t="s">
        <v>66</v>
      </c>
      <c r="AJ26" t="s">
        <v>63</v>
      </c>
      <c r="AK26" t="s">
        <v>595</v>
      </c>
      <c r="AL26" t="s">
        <v>61</v>
      </c>
      <c r="AM26" t="s">
        <v>66</v>
      </c>
      <c r="AN26">
        <v>1</v>
      </c>
      <c r="AO26" t="s">
        <v>63</v>
      </c>
      <c r="AP26" t="s">
        <v>597</v>
      </c>
      <c r="AQ26" t="s">
        <v>596</v>
      </c>
      <c r="AR26" t="s">
        <v>63</v>
      </c>
      <c r="AS26" t="s">
        <v>63</v>
      </c>
      <c r="AT26" t="s">
        <v>61</v>
      </c>
      <c r="AU26">
        <v>4</v>
      </c>
      <c r="AV26" t="s">
        <v>66</v>
      </c>
      <c r="AW26" t="s">
        <v>66</v>
      </c>
      <c r="AX26" t="s">
        <v>66</v>
      </c>
      <c r="AY26" t="s">
        <v>66</v>
      </c>
      <c r="AZ26" t="s">
        <v>66</v>
      </c>
      <c r="BA26" t="s">
        <v>66</v>
      </c>
      <c r="BB26" t="s">
        <v>598</v>
      </c>
      <c r="BC26" t="s">
        <v>161</v>
      </c>
      <c r="BD26" s="4" t="s">
        <v>258</v>
      </c>
      <c r="BE26" t="s">
        <v>600</v>
      </c>
      <c r="BF26" t="s">
        <v>599</v>
      </c>
      <c r="BG26" t="s">
        <v>163</v>
      </c>
      <c r="BH26" t="s">
        <v>63</v>
      </c>
      <c r="BI26" t="s">
        <v>167</v>
      </c>
      <c r="BJ26" s="3" t="s">
        <v>557</v>
      </c>
      <c r="BK26" t="s">
        <v>293</v>
      </c>
      <c r="BL26" s="4" t="s">
        <v>274</v>
      </c>
      <c r="BM26" s="4" t="s">
        <v>93</v>
      </c>
      <c r="BN26" s="4" t="s">
        <v>93</v>
      </c>
      <c r="BO26" s="4" t="s">
        <v>94</v>
      </c>
      <c r="BP26" s="4" t="s">
        <v>601</v>
      </c>
      <c r="BQ26" t="s">
        <v>78</v>
      </c>
      <c r="BR26" s="4" t="s">
        <v>602</v>
      </c>
      <c r="BS26" s="4" t="s">
        <v>66</v>
      </c>
      <c r="BT26" s="4" t="s">
        <v>66</v>
      </c>
      <c r="BU26" s="4" t="s">
        <v>66</v>
      </c>
      <c r="BV26" s="4" t="s">
        <v>66</v>
      </c>
      <c r="BW26" s="4" t="s">
        <v>66</v>
      </c>
      <c r="BX26" s="4" t="s">
        <v>66</v>
      </c>
      <c r="BY26" s="4" t="s">
        <v>66</v>
      </c>
      <c r="BZ26" s="4" t="s">
        <v>66</v>
      </c>
      <c r="CA26" s="4" t="s">
        <v>66</v>
      </c>
      <c r="CB26" s="4" t="s">
        <v>66</v>
      </c>
      <c r="CC26" s="4" t="s">
        <v>66</v>
      </c>
      <c r="CD26" s="4" t="s">
        <v>66</v>
      </c>
      <c r="CE26" s="4" t="s">
        <v>66</v>
      </c>
      <c r="CF26" s="4" t="s">
        <v>66</v>
      </c>
      <c r="CG26" s="4" t="s">
        <v>66</v>
      </c>
      <c r="CH26" s="4" t="s">
        <v>66</v>
      </c>
      <c r="CI26" s="4" t="s">
        <v>66</v>
      </c>
      <c r="CJ26" s="4" t="s">
        <v>66</v>
      </c>
      <c r="CK26" s="4" t="s">
        <v>66</v>
      </c>
      <c r="CL26" s="4" t="s">
        <v>66</v>
      </c>
      <c r="CM26" s="4" t="s">
        <v>66</v>
      </c>
      <c r="CN26" s="4" t="s">
        <v>66</v>
      </c>
      <c r="CO26" s="4" t="s">
        <v>66</v>
      </c>
      <c r="CP26" s="4" t="s">
        <v>66</v>
      </c>
      <c r="CQ26" s="4" t="s">
        <v>66</v>
      </c>
      <c r="CR26" s="4" t="s">
        <v>66</v>
      </c>
      <c r="CS26" s="4" t="s">
        <v>66</v>
      </c>
      <c r="CT26" s="4" t="s">
        <v>66</v>
      </c>
      <c r="CU26" s="4" t="s">
        <v>66</v>
      </c>
      <c r="CV26" t="s">
        <v>603</v>
      </c>
      <c r="CW26" s="4" t="s">
        <v>604</v>
      </c>
      <c r="CX26" s="4" t="s">
        <v>1685</v>
      </c>
    </row>
    <row r="27" spans="1:103" x14ac:dyDescent="0.25">
      <c r="A27" t="s">
        <v>201</v>
      </c>
      <c r="B27" t="s">
        <v>125</v>
      </c>
      <c r="C27" s="1">
        <v>45888</v>
      </c>
      <c r="D27" t="s">
        <v>606</v>
      </c>
      <c r="E27" s="6">
        <v>46955312</v>
      </c>
      <c r="F27">
        <v>18</v>
      </c>
      <c r="G27">
        <v>18</v>
      </c>
      <c r="H27" t="s">
        <v>127</v>
      </c>
      <c r="I27" t="s">
        <v>127</v>
      </c>
      <c r="J27" t="s">
        <v>127</v>
      </c>
      <c r="K27" s="1">
        <v>33507</v>
      </c>
      <c r="L27" s="15">
        <f t="shared" si="0"/>
        <v>33</v>
      </c>
      <c r="M27" t="s">
        <v>59</v>
      </c>
      <c r="N27" t="s">
        <v>89</v>
      </c>
      <c r="O27" t="s">
        <v>60</v>
      </c>
      <c r="P27" t="s">
        <v>61</v>
      </c>
      <c r="Q27" t="s">
        <v>61</v>
      </c>
      <c r="R27" t="s">
        <v>129</v>
      </c>
      <c r="S27" t="s">
        <v>63</v>
      </c>
      <c r="T27" t="s">
        <v>66</v>
      </c>
      <c r="U27" t="s">
        <v>63</v>
      </c>
      <c r="V27" t="s">
        <v>66</v>
      </c>
      <c r="W27" t="s">
        <v>66</v>
      </c>
      <c r="X27" t="s">
        <v>66</v>
      </c>
      <c r="Y27" t="s">
        <v>66</v>
      </c>
      <c r="Z27" t="s">
        <v>66</v>
      </c>
      <c r="AA27" t="s">
        <v>66</v>
      </c>
      <c r="AB27" t="s">
        <v>63</v>
      </c>
      <c r="AC27" t="s">
        <v>66</v>
      </c>
      <c r="AD27">
        <v>3</v>
      </c>
      <c r="AE27">
        <v>3</v>
      </c>
      <c r="AF27" t="s">
        <v>63</v>
      </c>
      <c r="AG27" t="s">
        <v>66</v>
      </c>
      <c r="AH27" t="s">
        <v>63</v>
      </c>
      <c r="AI27" t="s">
        <v>66</v>
      </c>
      <c r="AJ27" t="s">
        <v>61</v>
      </c>
      <c r="AK27" t="s">
        <v>66</v>
      </c>
      <c r="AL27" t="s">
        <v>61</v>
      </c>
      <c r="AM27" t="s">
        <v>66</v>
      </c>
      <c r="AN27">
        <v>0</v>
      </c>
      <c r="AO27" t="s">
        <v>63</v>
      </c>
      <c r="AP27" t="s">
        <v>607</v>
      </c>
      <c r="AQ27" t="s">
        <v>608</v>
      </c>
      <c r="AR27" t="s">
        <v>63</v>
      </c>
      <c r="AS27" t="s">
        <v>63</v>
      </c>
      <c r="AT27" t="s">
        <v>61</v>
      </c>
      <c r="AU27" t="s">
        <v>93</v>
      </c>
      <c r="AV27" t="s">
        <v>66</v>
      </c>
      <c r="AW27" t="s">
        <v>66</v>
      </c>
      <c r="AX27" t="s">
        <v>66</v>
      </c>
      <c r="AY27" t="s">
        <v>66</v>
      </c>
      <c r="AZ27" t="s">
        <v>66</v>
      </c>
      <c r="BA27" t="s">
        <v>66</v>
      </c>
      <c r="BB27">
        <v>1000</v>
      </c>
      <c r="BC27" t="s">
        <v>219</v>
      </c>
      <c r="BD27" s="4" t="s">
        <v>258</v>
      </c>
      <c r="BE27" t="s">
        <v>609</v>
      </c>
      <c r="BF27" t="s">
        <v>104</v>
      </c>
      <c r="BG27" t="s">
        <v>393</v>
      </c>
      <c r="BH27" t="s">
        <v>61</v>
      </c>
      <c r="BI27" t="s">
        <v>496</v>
      </c>
      <c r="BJ27" s="3" t="s">
        <v>142</v>
      </c>
      <c r="BK27" t="s">
        <v>610</v>
      </c>
      <c r="BL27" s="4" t="s">
        <v>611</v>
      </c>
      <c r="BM27" s="4" t="s">
        <v>589</v>
      </c>
      <c r="BN27" s="4" t="s">
        <v>76</v>
      </c>
      <c r="BO27" s="4" t="s">
        <v>612</v>
      </c>
      <c r="BP27" s="4" t="s">
        <v>613</v>
      </c>
      <c r="BQ27" t="s">
        <v>78</v>
      </c>
      <c r="BR27" s="4" t="s">
        <v>170</v>
      </c>
      <c r="BS27" s="4" t="s">
        <v>219</v>
      </c>
      <c r="BT27" s="4" t="s">
        <v>170</v>
      </c>
      <c r="BU27" s="4" t="s">
        <v>609</v>
      </c>
      <c r="BV27" t="s">
        <v>104</v>
      </c>
      <c r="BW27" t="s">
        <v>79</v>
      </c>
      <c r="BX27" s="4" t="s">
        <v>61</v>
      </c>
      <c r="BY27" t="s">
        <v>98</v>
      </c>
      <c r="BZ27" s="4" t="s">
        <v>614</v>
      </c>
      <c r="CA27" t="s">
        <v>615</v>
      </c>
      <c r="CB27" s="3" t="s">
        <v>171</v>
      </c>
      <c r="CC27" s="3" t="s">
        <v>80</v>
      </c>
      <c r="CD27" s="3" t="s">
        <v>333</v>
      </c>
      <c r="CE27" s="4" t="s">
        <v>612</v>
      </c>
      <c r="CF27" s="4" t="s">
        <v>613</v>
      </c>
      <c r="CG27" t="s">
        <v>78</v>
      </c>
      <c r="CH27" s="3" t="s">
        <v>566</v>
      </c>
      <c r="CI27" s="4" t="s">
        <v>66</v>
      </c>
      <c r="CJ27" s="4" t="s">
        <v>66</v>
      </c>
      <c r="CK27" s="4" t="s">
        <v>66</v>
      </c>
      <c r="CL27" s="4" t="s">
        <v>66</v>
      </c>
      <c r="CM27" s="4" t="s">
        <v>66</v>
      </c>
      <c r="CN27" s="4" t="s">
        <v>66</v>
      </c>
      <c r="CO27" s="4" t="s">
        <v>66</v>
      </c>
      <c r="CP27" s="4" t="s">
        <v>66</v>
      </c>
      <c r="CQ27" s="4" t="s">
        <v>66</v>
      </c>
      <c r="CR27" s="4" t="s">
        <v>66</v>
      </c>
      <c r="CS27" s="4" t="s">
        <v>66</v>
      </c>
      <c r="CT27" s="4" t="s">
        <v>66</v>
      </c>
      <c r="CU27" s="4" t="s">
        <v>66</v>
      </c>
      <c r="CV27" t="s">
        <v>616</v>
      </c>
      <c r="CW27" s="4" t="s">
        <v>617</v>
      </c>
      <c r="CX27" s="4"/>
    </row>
    <row r="28" spans="1:103" x14ac:dyDescent="0.25">
      <c r="A28" t="s">
        <v>202</v>
      </c>
      <c r="B28" t="s">
        <v>125</v>
      </c>
      <c r="C28" s="1">
        <v>45888</v>
      </c>
      <c r="D28" t="s">
        <v>618</v>
      </c>
      <c r="E28" s="6">
        <v>80430112</v>
      </c>
      <c r="F28">
        <v>35</v>
      </c>
      <c r="G28">
        <v>35</v>
      </c>
      <c r="H28" t="s">
        <v>127</v>
      </c>
      <c r="I28" t="s">
        <v>127</v>
      </c>
      <c r="J28" t="s">
        <v>127</v>
      </c>
      <c r="K28" s="1">
        <v>27646</v>
      </c>
      <c r="L28" s="15">
        <f t="shared" si="0"/>
        <v>49</v>
      </c>
      <c r="M28" t="s">
        <v>59</v>
      </c>
      <c r="N28" t="s">
        <v>108</v>
      </c>
      <c r="O28" t="s">
        <v>60</v>
      </c>
      <c r="P28" t="s">
        <v>61</v>
      </c>
      <c r="Q28" t="s">
        <v>61</v>
      </c>
      <c r="R28" t="s">
        <v>129</v>
      </c>
      <c r="S28" t="s">
        <v>61</v>
      </c>
      <c r="T28" t="s">
        <v>130</v>
      </c>
      <c r="U28" t="s">
        <v>61</v>
      </c>
      <c r="V28" t="s">
        <v>1758</v>
      </c>
      <c r="W28" t="s">
        <v>1716</v>
      </c>
      <c r="X28" t="s">
        <v>66</v>
      </c>
      <c r="Y28" t="s">
        <v>66</v>
      </c>
      <c r="Z28" t="s">
        <v>66</v>
      </c>
      <c r="AA28" t="s">
        <v>66</v>
      </c>
      <c r="AB28" t="s">
        <v>63</v>
      </c>
      <c r="AC28" t="s">
        <v>66</v>
      </c>
      <c r="AD28">
        <v>3</v>
      </c>
      <c r="AE28">
        <v>2</v>
      </c>
      <c r="AF28" t="s">
        <v>61</v>
      </c>
      <c r="AG28" t="s">
        <v>619</v>
      </c>
      <c r="AH28" t="s">
        <v>63</v>
      </c>
      <c r="AI28" t="s">
        <v>66</v>
      </c>
      <c r="AJ28" t="s">
        <v>61</v>
      </c>
      <c r="AK28" t="s">
        <v>66</v>
      </c>
      <c r="AL28" t="s">
        <v>61</v>
      </c>
      <c r="AM28" t="s">
        <v>66</v>
      </c>
      <c r="AN28">
        <v>1</v>
      </c>
      <c r="AO28" t="s">
        <v>63</v>
      </c>
      <c r="AP28" t="s">
        <v>620</v>
      </c>
      <c r="AQ28" t="s">
        <v>93</v>
      </c>
      <c r="AR28" t="s">
        <v>63</v>
      </c>
      <c r="AS28" t="s">
        <v>63</v>
      </c>
      <c r="AT28" t="s">
        <v>61</v>
      </c>
      <c r="AU28">
        <v>8</v>
      </c>
      <c r="AV28" t="s">
        <v>66</v>
      </c>
      <c r="AW28" t="s">
        <v>66</v>
      </c>
      <c r="AX28" t="s">
        <v>66</v>
      </c>
      <c r="AY28" t="s">
        <v>66</v>
      </c>
      <c r="AZ28" t="s">
        <v>66</v>
      </c>
      <c r="BA28" t="s">
        <v>66</v>
      </c>
      <c r="BB28">
        <v>350</v>
      </c>
      <c r="BC28" t="s">
        <v>219</v>
      </c>
      <c r="BD28" s="4" t="s">
        <v>170</v>
      </c>
      <c r="BE28" s="4" t="s">
        <v>388</v>
      </c>
      <c r="BF28" t="s">
        <v>104</v>
      </c>
      <c r="BG28" t="s">
        <v>79</v>
      </c>
      <c r="BH28" t="s">
        <v>61</v>
      </c>
      <c r="BI28" t="s">
        <v>491</v>
      </c>
      <c r="BJ28" s="3" t="s">
        <v>589</v>
      </c>
      <c r="BK28" t="s">
        <v>621</v>
      </c>
      <c r="BL28" s="4" t="s">
        <v>333</v>
      </c>
      <c r="BM28" s="4" t="s">
        <v>225</v>
      </c>
      <c r="BN28" s="4" t="s">
        <v>170</v>
      </c>
      <c r="BO28" s="4" t="s">
        <v>622</v>
      </c>
      <c r="BP28" s="4" t="s">
        <v>256</v>
      </c>
      <c r="BQ28" t="s">
        <v>78</v>
      </c>
      <c r="BR28" s="4" t="s">
        <v>623</v>
      </c>
      <c r="BS28" t="s">
        <v>70</v>
      </c>
      <c r="BT28" s="4" t="s">
        <v>258</v>
      </c>
      <c r="BU28" s="4" t="s">
        <v>388</v>
      </c>
      <c r="BV28" t="s">
        <v>104</v>
      </c>
      <c r="BW28" t="s">
        <v>71</v>
      </c>
      <c r="BX28" t="s">
        <v>63</v>
      </c>
      <c r="BY28" t="s">
        <v>624</v>
      </c>
      <c r="BZ28" s="4" t="s">
        <v>80</v>
      </c>
      <c r="CA28" t="s">
        <v>625</v>
      </c>
      <c r="CB28">
        <v>30</v>
      </c>
      <c r="CC28" s="3" t="s">
        <v>260</v>
      </c>
      <c r="CD28" s="3" t="s">
        <v>144</v>
      </c>
      <c r="CE28" s="4" t="s">
        <v>627</v>
      </c>
      <c r="CF28" s="4" t="s">
        <v>502</v>
      </c>
      <c r="CG28" t="s">
        <v>78</v>
      </c>
      <c r="CH28" s="3" t="s">
        <v>138</v>
      </c>
      <c r="CI28" s="4" t="s">
        <v>66</v>
      </c>
      <c r="CJ28" s="4" t="s">
        <v>66</v>
      </c>
      <c r="CK28" s="4" t="s">
        <v>66</v>
      </c>
      <c r="CL28" s="4" t="s">
        <v>66</v>
      </c>
      <c r="CM28" s="4" t="s">
        <v>66</v>
      </c>
      <c r="CN28" s="4" t="s">
        <v>66</v>
      </c>
      <c r="CO28" s="4" t="s">
        <v>66</v>
      </c>
      <c r="CP28" s="4" t="s">
        <v>66</v>
      </c>
      <c r="CQ28" s="4" t="s">
        <v>66</v>
      </c>
      <c r="CR28" s="4" t="s">
        <v>66</v>
      </c>
      <c r="CS28" s="4" t="s">
        <v>66</v>
      </c>
      <c r="CT28" s="4" t="s">
        <v>66</v>
      </c>
      <c r="CU28" s="4" t="s">
        <v>66</v>
      </c>
      <c r="CV28" t="s">
        <v>626</v>
      </c>
      <c r="CW28" s="4" t="s">
        <v>469</v>
      </c>
      <c r="CY28" t="s">
        <v>1699</v>
      </c>
    </row>
    <row r="29" spans="1:103" x14ac:dyDescent="0.25">
      <c r="A29" t="s">
        <v>203</v>
      </c>
      <c r="B29" t="s">
        <v>125</v>
      </c>
      <c r="C29" s="1">
        <v>45888</v>
      </c>
      <c r="D29" t="s">
        <v>628</v>
      </c>
      <c r="E29" s="6">
        <v>47808459</v>
      </c>
      <c r="F29">
        <v>10</v>
      </c>
      <c r="G29">
        <v>10</v>
      </c>
      <c r="H29" t="s">
        <v>127</v>
      </c>
      <c r="I29" t="s">
        <v>127</v>
      </c>
      <c r="J29" t="s">
        <v>629</v>
      </c>
      <c r="K29" s="1">
        <v>33165</v>
      </c>
      <c r="L29" s="15">
        <f t="shared" si="0"/>
        <v>34</v>
      </c>
      <c r="M29" t="s">
        <v>59</v>
      </c>
      <c r="N29" t="s">
        <v>89</v>
      </c>
      <c r="O29" t="s">
        <v>60</v>
      </c>
      <c r="P29" t="s">
        <v>61</v>
      </c>
      <c r="Q29" t="s">
        <v>212</v>
      </c>
      <c r="R29" t="s">
        <v>129</v>
      </c>
      <c r="S29" t="s">
        <v>63</v>
      </c>
      <c r="T29" t="s">
        <v>66</v>
      </c>
      <c r="U29" t="s">
        <v>63</v>
      </c>
      <c r="V29" t="s">
        <v>66</v>
      </c>
      <c r="W29" t="s">
        <v>66</v>
      </c>
      <c r="X29" t="s">
        <v>66</v>
      </c>
      <c r="Y29" t="s">
        <v>66</v>
      </c>
      <c r="Z29" t="s">
        <v>66</v>
      </c>
      <c r="AA29" t="s">
        <v>66</v>
      </c>
      <c r="AB29" t="s">
        <v>61</v>
      </c>
      <c r="AC29" t="s">
        <v>213</v>
      </c>
      <c r="AD29">
        <v>0</v>
      </c>
      <c r="AE29">
        <v>0</v>
      </c>
      <c r="AF29" t="s">
        <v>63</v>
      </c>
      <c r="AG29" t="s">
        <v>66</v>
      </c>
      <c r="AH29" t="s">
        <v>63</v>
      </c>
      <c r="AI29" t="s">
        <v>66</v>
      </c>
      <c r="AJ29" t="s">
        <v>63</v>
      </c>
      <c r="AK29" t="s">
        <v>630</v>
      </c>
      <c r="AL29" t="s">
        <v>61</v>
      </c>
      <c r="AM29" t="s">
        <v>66</v>
      </c>
      <c r="AN29">
        <v>1</v>
      </c>
      <c r="AO29" t="s">
        <v>63</v>
      </c>
      <c r="AQ29" t="s">
        <v>631</v>
      </c>
      <c r="AR29" t="s">
        <v>63</v>
      </c>
      <c r="AS29" t="s">
        <v>63</v>
      </c>
      <c r="AT29" t="s">
        <v>61</v>
      </c>
      <c r="AU29">
        <v>10</v>
      </c>
      <c r="AV29" t="s">
        <v>66</v>
      </c>
      <c r="AW29" t="s">
        <v>66</v>
      </c>
      <c r="AX29" t="s">
        <v>66</v>
      </c>
      <c r="AY29" t="s">
        <v>66</v>
      </c>
      <c r="AZ29" t="s">
        <v>66</v>
      </c>
      <c r="BA29" t="s">
        <v>66</v>
      </c>
      <c r="BB29" t="s">
        <v>632</v>
      </c>
      <c r="BC29" t="s">
        <v>219</v>
      </c>
      <c r="BD29" s="4" t="s">
        <v>589</v>
      </c>
      <c r="BE29" s="4" t="s">
        <v>388</v>
      </c>
      <c r="BF29" t="s">
        <v>104</v>
      </c>
      <c r="BG29" t="s">
        <v>393</v>
      </c>
      <c r="BH29" t="s">
        <v>61</v>
      </c>
      <c r="BI29" t="s">
        <v>167</v>
      </c>
      <c r="BJ29" s="3" t="s">
        <v>307</v>
      </c>
      <c r="BK29" t="s">
        <v>641</v>
      </c>
      <c r="BL29" s="4" t="s">
        <v>85</v>
      </c>
      <c r="BM29" s="4" t="s">
        <v>467</v>
      </c>
      <c r="BN29" s="4" t="s">
        <v>388</v>
      </c>
      <c r="BO29" s="4" t="s">
        <v>633</v>
      </c>
      <c r="BP29" s="4" t="s">
        <v>634</v>
      </c>
      <c r="BQ29" t="s">
        <v>78</v>
      </c>
      <c r="BR29" s="4" t="s">
        <v>310</v>
      </c>
      <c r="BS29" s="4" t="s">
        <v>219</v>
      </c>
      <c r="BT29" s="4" t="s">
        <v>589</v>
      </c>
      <c r="BU29" s="4" t="s">
        <v>388</v>
      </c>
      <c r="BV29" t="s">
        <v>104</v>
      </c>
      <c r="BW29" t="s">
        <v>79</v>
      </c>
      <c r="BX29" s="4" t="s">
        <v>61</v>
      </c>
      <c r="BY29" t="s">
        <v>98</v>
      </c>
      <c r="BZ29" s="4" t="s">
        <v>468</v>
      </c>
      <c r="CA29" t="s">
        <v>640</v>
      </c>
      <c r="CB29" s="4" t="s">
        <v>83</v>
      </c>
      <c r="CC29" s="3" t="s">
        <v>225</v>
      </c>
      <c r="CD29" s="3" t="s">
        <v>635</v>
      </c>
      <c r="CE29" s="4" t="s">
        <v>172</v>
      </c>
      <c r="CF29" s="4" t="s">
        <v>636</v>
      </c>
      <c r="CG29" t="s">
        <v>78</v>
      </c>
      <c r="CH29" s="3" t="s">
        <v>637</v>
      </c>
      <c r="CI29" s="4" t="s">
        <v>66</v>
      </c>
      <c r="CJ29" s="4" t="s">
        <v>66</v>
      </c>
      <c r="CK29" s="4" t="s">
        <v>66</v>
      </c>
      <c r="CL29" s="4" t="s">
        <v>66</v>
      </c>
      <c r="CM29" s="4" t="s">
        <v>66</v>
      </c>
      <c r="CN29" s="4" t="s">
        <v>66</v>
      </c>
      <c r="CO29" s="4" t="s">
        <v>66</v>
      </c>
      <c r="CP29" s="4" t="s">
        <v>66</v>
      </c>
      <c r="CQ29" s="4" t="s">
        <v>66</v>
      </c>
      <c r="CR29" s="4" t="s">
        <v>66</v>
      </c>
      <c r="CS29" s="4" t="s">
        <v>66</v>
      </c>
      <c r="CT29" s="4" t="s">
        <v>66</v>
      </c>
      <c r="CU29" s="4" t="s">
        <v>66</v>
      </c>
      <c r="CV29" t="s">
        <v>638</v>
      </c>
      <c r="CW29" s="4" t="s">
        <v>639</v>
      </c>
      <c r="CX29" s="4"/>
    </row>
    <row r="30" spans="1:103" x14ac:dyDescent="0.25">
      <c r="A30" t="s">
        <v>204</v>
      </c>
      <c r="B30" t="s">
        <v>125</v>
      </c>
      <c r="C30" s="1">
        <v>45888</v>
      </c>
      <c r="D30" t="s">
        <v>642</v>
      </c>
      <c r="E30" s="6">
        <v>80091938</v>
      </c>
      <c r="F30">
        <v>44</v>
      </c>
      <c r="G30">
        <v>37</v>
      </c>
      <c r="H30" t="s">
        <v>127</v>
      </c>
      <c r="I30" t="s">
        <v>127</v>
      </c>
      <c r="J30" t="s">
        <v>643</v>
      </c>
      <c r="K30" s="1">
        <v>26752</v>
      </c>
      <c r="L30" s="15">
        <f t="shared" si="0"/>
        <v>52</v>
      </c>
      <c r="M30" t="s">
        <v>59</v>
      </c>
      <c r="N30" t="s">
        <v>298</v>
      </c>
      <c r="O30" t="s">
        <v>60</v>
      </c>
      <c r="P30" t="s">
        <v>61</v>
      </c>
      <c r="Q30" t="s">
        <v>61</v>
      </c>
      <c r="R30" t="s">
        <v>426</v>
      </c>
      <c r="S30" t="s">
        <v>61</v>
      </c>
      <c r="T30" t="s">
        <v>130</v>
      </c>
      <c r="U30" t="s">
        <v>61</v>
      </c>
      <c r="V30" t="s">
        <v>1758</v>
      </c>
      <c r="W30" t="s">
        <v>1717</v>
      </c>
      <c r="X30" t="s">
        <v>66</v>
      </c>
      <c r="Y30" t="s">
        <v>66</v>
      </c>
      <c r="Z30" t="s">
        <v>66</v>
      </c>
      <c r="AA30" t="s">
        <v>66</v>
      </c>
      <c r="AB30" t="s">
        <v>63</v>
      </c>
      <c r="AC30" t="s">
        <v>66</v>
      </c>
      <c r="AD30">
        <v>0</v>
      </c>
      <c r="AE30">
        <v>2</v>
      </c>
      <c r="AF30" t="s">
        <v>63</v>
      </c>
      <c r="AG30" t="s">
        <v>66</v>
      </c>
      <c r="AH30" t="s">
        <v>61</v>
      </c>
      <c r="AI30" t="s">
        <v>267</v>
      </c>
      <c r="AJ30" t="s">
        <v>61</v>
      </c>
      <c r="AK30" t="s">
        <v>66</v>
      </c>
      <c r="AL30" t="s">
        <v>61</v>
      </c>
      <c r="AM30" t="s">
        <v>66</v>
      </c>
      <c r="AN30">
        <v>0</v>
      </c>
      <c r="AO30" t="s">
        <v>63</v>
      </c>
      <c r="AP30" t="s">
        <v>66</v>
      </c>
      <c r="AQ30" t="s">
        <v>66</v>
      </c>
      <c r="AR30" t="s">
        <v>66</v>
      </c>
      <c r="AS30" t="s">
        <v>66</v>
      </c>
      <c r="AT30" t="s">
        <v>66</v>
      </c>
      <c r="AU30" t="s">
        <v>66</v>
      </c>
      <c r="AV30" t="s">
        <v>66</v>
      </c>
      <c r="AW30" t="s">
        <v>66</v>
      </c>
      <c r="AX30" t="s">
        <v>66</v>
      </c>
      <c r="AY30" t="s">
        <v>66</v>
      </c>
      <c r="AZ30" t="s">
        <v>66</v>
      </c>
      <c r="BA30" t="s">
        <v>66</v>
      </c>
      <c r="BB30" t="s">
        <v>627</v>
      </c>
      <c r="BC30" t="s">
        <v>107</v>
      </c>
      <c r="BD30" s="4" t="s">
        <v>315</v>
      </c>
      <c r="BE30" t="s">
        <v>644</v>
      </c>
      <c r="BF30" t="s">
        <v>104</v>
      </c>
      <c r="BG30" t="s">
        <v>96</v>
      </c>
      <c r="BH30" t="s">
        <v>63</v>
      </c>
      <c r="BI30" t="s">
        <v>554</v>
      </c>
      <c r="BJ30" s="3" t="s">
        <v>342</v>
      </c>
      <c r="BK30" t="s">
        <v>645</v>
      </c>
      <c r="BL30" s="4" t="s">
        <v>646</v>
      </c>
      <c r="BM30" s="4" t="s">
        <v>142</v>
      </c>
      <c r="BN30" s="4" t="s">
        <v>409</v>
      </c>
      <c r="BO30" s="4" t="s">
        <v>647</v>
      </c>
      <c r="BP30" s="4" t="s">
        <v>256</v>
      </c>
      <c r="BQ30" t="s">
        <v>78</v>
      </c>
      <c r="BR30" s="4" t="s">
        <v>648</v>
      </c>
      <c r="BS30" t="s">
        <v>161</v>
      </c>
      <c r="BT30" s="4" t="s">
        <v>225</v>
      </c>
      <c r="BU30" s="4" t="s">
        <v>644</v>
      </c>
      <c r="BV30" t="s">
        <v>104</v>
      </c>
      <c r="BW30" t="s">
        <v>163</v>
      </c>
      <c r="BX30" t="s">
        <v>63</v>
      </c>
      <c r="BY30" t="s">
        <v>649</v>
      </c>
      <c r="BZ30" s="4" t="s">
        <v>556</v>
      </c>
      <c r="CA30" s="4" t="s">
        <v>273</v>
      </c>
      <c r="CB30" s="4" t="s">
        <v>650</v>
      </c>
      <c r="CC30" s="4" t="s">
        <v>93</v>
      </c>
      <c r="CD30" s="4" t="s">
        <v>93</v>
      </c>
      <c r="CE30" s="4" t="s">
        <v>93</v>
      </c>
      <c r="CF30" s="4" t="s">
        <v>651</v>
      </c>
      <c r="CG30" t="s">
        <v>78</v>
      </c>
      <c r="CH30" s="3" t="s">
        <v>652</v>
      </c>
      <c r="CI30" s="4" t="s">
        <v>66</v>
      </c>
      <c r="CJ30" s="4" t="s">
        <v>66</v>
      </c>
      <c r="CK30" s="4" t="s">
        <v>66</v>
      </c>
      <c r="CL30" s="4" t="s">
        <v>66</v>
      </c>
      <c r="CM30" s="4" t="s">
        <v>66</v>
      </c>
      <c r="CN30" s="4" t="s">
        <v>66</v>
      </c>
      <c r="CO30" s="4" t="s">
        <v>66</v>
      </c>
      <c r="CP30" s="4" t="s">
        <v>66</v>
      </c>
      <c r="CQ30" s="4" t="s">
        <v>66</v>
      </c>
      <c r="CR30" s="4" t="s">
        <v>66</v>
      </c>
      <c r="CS30" s="4" t="s">
        <v>66</v>
      </c>
      <c r="CT30" s="4" t="s">
        <v>66</v>
      </c>
      <c r="CU30" s="4" t="s">
        <v>66</v>
      </c>
      <c r="CV30" t="s">
        <v>653</v>
      </c>
      <c r="CW30" s="4" t="s">
        <v>469</v>
      </c>
    </row>
    <row r="31" spans="1:103" x14ac:dyDescent="0.25">
      <c r="A31" t="s">
        <v>205</v>
      </c>
      <c r="B31" t="s">
        <v>125</v>
      </c>
      <c r="C31" s="1">
        <v>45888</v>
      </c>
      <c r="D31" t="s">
        <v>654</v>
      </c>
      <c r="E31" s="6">
        <v>46376229</v>
      </c>
      <c r="F31">
        <v>10</v>
      </c>
      <c r="G31">
        <v>4</v>
      </c>
      <c r="H31" t="s">
        <v>127</v>
      </c>
      <c r="I31" t="s">
        <v>127</v>
      </c>
      <c r="J31" t="s">
        <v>655</v>
      </c>
      <c r="K31" s="1">
        <v>32957</v>
      </c>
      <c r="L31" s="15">
        <f t="shared" si="0"/>
        <v>35</v>
      </c>
      <c r="M31" t="s">
        <v>59</v>
      </c>
      <c r="N31" t="s">
        <v>108</v>
      </c>
      <c r="O31" t="s">
        <v>60</v>
      </c>
      <c r="P31" t="s">
        <v>61</v>
      </c>
      <c r="Q31" t="s">
        <v>61</v>
      </c>
      <c r="R31" t="s">
        <v>129</v>
      </c>
      <c r="S31" t="s">
        <v>63</v>
      </c>
      <c r="T31" t="s">
        <v>66</v>
      </c>
      <c r="U31" t="s">
        <v>63</v>
      </c>
      <c r="V31" t="s">
        <v>66</v>
      </c>
      <c r="W31" t="s">
        <v>66</v>
      </c>
      <c r="X31" t="s">
        <v>66</v>
      </c>
      <c r="Y31" t="s">
        <v>66</v>
      </c>
      <c r="Z31" t="s">
        <v>66</v>
      </c>
      <c r="AA31" t="s">
        <v>66</v>
      </c>
      <c r="AB31" t="s">
        <v>61</v>
      </c>
      <c r="AC31" t="s">
        <v>417</v>
      </c>
      <c r="AD31">
        <v>4</v>
      </c>
      <c r="AE31">
        <v>1</v>
      </c>
      <c r="AF31" t="s">
        <v>61</v>
      </c>
      <c r="AG31" t="s">
        <v>507</v>
      </c>
      <c r="AH31" t="s">
        <v>63</v>
      </c>
      <c r="AI31" t="s">
        <v>66</v>
      </c>
      <c r="AJ31" t="s">
        <v>63</v>
      </c>
      <c r="AK31" t="s">
        <v>153</v>
      </c>
      <c r="AL31" t="s">
        <v>61</v>
      </c>
      <c r="AM31" t="s">
        <v>66</v>
      </c>
      <c r="AN31">
        <v>0</v>
      </c>
      <c r="AO31" t="s">
        <v>63</v>
      </c>
      <c r="AQ31" t="s">
        <v>656</v>
      </c>
      <c r="AR31" t="s">
        <v>61</v>
      </c>
      <c r="AS31" t="s">
        <v>63</v>
      </c>
      <c r="AT31" t="s">
        <v>61</v>
      </c>
      <c r="AU31">
        <v>10</v>
      </c>
      <c r="AV31" t="s">
        <v>66</v>
      </c>
      <c r="AW31" t="s">
        <v>66</v>
      </c>
      <c r="AX31" t="s">
        <v>66</v>
      </c>
      <c r="AY31" t="s">
        <v>66</v>
      </c>
      <c r="AZ31" t="s">
        <v>66</v>
      </c>
      <c r="BA31" t="s">
        <v>66</v>
      </c>
      <c r="BB31" t="s">
        <v>657</v>
      </c>
      <c r="BC31" t="s">
        <v>219</v>
      </c>
      <c r="BD31" s="4" t="s">
        <v>314</v>
      </c>
      <c r="BE31" t="s">
        <v>405</v>
      </c>
      <c r="BF31" t="s">
        <v>104</v>
      </c>
      <c r="BG31" t="s">
        <v>79</v>
      </c>
      <c r="BH31" t="s">
        <v>61</v>
      </c>
      <c r="BI31" t="s">
        <v>658</v>
      </c>
      <c r="BJ31" s="3" t="s">
        <v>170</v>
      </c>
      <c r="BK31" t="s">
        <v>659</v>
      </c>
      <c r="BL31" s="4" t="s">
        <v>376</v>
      </c>
      <c r="BM31" s="4" t="s">
        <v>142</v>
      </c>
      <c r="BN31" s="4" t="s">
        <v>660</v>
      </c>
      <c r="BO31" s="4" t="s">
        <v>661</v>
      </c>
      <c r="BP31" s="4" t="s">
        <v>662</v>
      </c>
      <c r="BQ31" t="s">
        <v>78</v>
      </c>
      <c r="BR31" s="4" t="s">
        <v>556</v>
      </c>
      <c r="BS31" t="s">
        <v>161</v>
      </c>
      <c r="BT31" s="4" t="s">
        <v>589</v>
      </c>
      <c r="BU31" s="4" t="s">
        <v>405</v>
      </c>
      <c r="BV31" t="s">
        <v>104</v>
      </c>
      <c r="BW31" t="s">
        <v>163</v>
      </c>
      <c r="BX31" t="s">
        <v>63</v>
      </c>
      <c r="BY31" t="s">
        <v>167</v>
      </c>
      <c r="BZ31" s="4" t="s">
        <v>272</v>
      </c>
      <c r="CA31" s="4" t="s">
        <v>273</v>
      </c>
      <c r="CB31" s="4" t="s">
        <v>566</v>
      </c>
      <c r="CC31" s="4" t="s">
        <v>93</v>
      </c>
      <c r="CD31" s="4" t="s">
        <v>93</v>
      </c>
      <c r="CE31" s="4" t="s">
        <v>664</v>
      </c>
      <c r="CF31" s="4" t="s">
        <v>663</v>
      </c>
      <c r="CG31" t="s">
        <v>78</v>
      </c>
      <c r="CH31" s="3" t="s">
        <v>665</v>
      </c>
      <c r="CI31" s="4" t="s">
        <v>66</v>
      </c>
      <c r="CJ31" s="4" t="s">
        <v>66</v>
      </c>
      <c r="CK31" s="4" t="s">
        <v>66</v>
      </c>
      <c r="CL31" s="4" t="s">
        <v>66</v>
      </c>
      <c r="CM31" s="4" t="s">
        <v>66</v>
      </c>
      <c r="CN31" s="4" t="s">
        <v>66</v>
      </c>
      <c r="CO31" s="4" t="s">
        <v>66</v>
      </c>
      <c r="CP31" s="4" t="s">
        <v>66</v>
      </c>
      <c r="CQ31" s="4" t="s">
        <v>66</v>
      </c>
      <c r="CR31" s="4" t="s">
        <v>66</v>
      </c>
      <c r="CS31" s="4" t="s">
        <v>66</v>
      </c>
      <c r="CT31" s="4" t="s">
        <v>66</v>
      </c>
      <c r="CU31" s="4" t="s">
        <v>66</v>
      </c>
      <c r="CV31" t="s">
        <v>666</v>
      </c>
      <c r="CW31" s="4" t="s">
        <v>667</v>
      </c>
      <c r="CX31" s="4"/>
    </row>
    <row r="32" spans="1:103" x14ac:dyDescent="0.25">
      <c r="A32" t="s">
        <v>206</v>
      </c>
      <c r="B32" t="s">
        <v>125</v>
      </c>
      <c r="C32" s="1">
        <v>45888</v>
      </c>
      <c r="D32" t="s">
        <v>669</v>
      </c>
      <c r="E32" s="7" t="s">
        <v>668</v>
      </c>
      <c r="F32">
        <v>36</v>
      </c>
      <c r="G32">
        <v>31</v>
      </c>
      <c r="H32" t="s">
        <v>127</v>
      </c>
      <c r="I32" t="s">
        <v>127</v>
      </c>
      <c r="J32" t="s">
        <v>670</v>
      </c>
      <c r="K32" s="1">
        <v>25527</v>
      </c>
      <c r="L32" s="15">
        <f t="shared" si="0"/>
        <v>55</v>
      </c>
      <c r="M32" t="s">
        <v>59</v>
      </c>
      <c r="N32" t="s">
        <v>89</v>
      </c>
      <c r="O32" t="s">
        <v>60</v>
      </c>
      <c r="P32" t="s">
        <v>61</v>
      </c>
      <c r="Q32" t="s">
        <v>506</v>
      </c>
      <c r="R32" t="s">
        <v>129</v>
      </c>
      <c r="S32" t="s">
        <v>63</v>
      </c>
      <c r="T32" t="s">
        <v>66</v>
      </c>
      <c r="U32" t="s">
        <v>63</v>
      </c>
      <c r="V32" t="s">
        <v>66</v>
      </c>
      <c r="W32" t="s">
        <v>66</v>
      </c>
      <c r="X32" t="s">
        <v>66</v>
      </c>
      <c r="Y32" t="s">
        <v>66</v>
      </c>
      <c r="Z32" t="s">
        <v>66</v>
      </c>
      <c r="AA32" t="s">
        <v>66</v>
      </c>
      <c r="AB32" t="s">
        <v>63</v>
      </c>
      <c r="AC32" t="s">
        <v>66</v>
      </c>
      <c r="AD32">
        <v>4</v>
      </c>
      <c r="AE32">
        <v>4</v>
      </c>
      <c r="AF32" t="s">
        <v>63</v>
      </c>
      <c r="AG32" t="s">
        <v>66</v>
      </c>
      <c r="AH32" t="s">
        <v>63</v>
      </c>
      <c r="AI32" t="s">
        <v>66</v>
      </c>
      <c r="AJ32" t="s">
        <v>63</v>
      </c>
      <c r="AK32" t="s">
        <v>153</v>
      </c>
      <c r="AL32" t="s">
        <v>63</v>
      </c>
      <c r="AM32" t="s">
        <v>576</v>
      </c>
      <c r="AN32">
        <v>0</v>
      </c>
      <c r="AO32" t="s">
        <v>63</v>
      </c>
      <c r="AP32" t="s">
        <v>671</v>
      </c>
      <c r="AQ32" t="s">
        <v>93</v>
      </c>
      <c r="AR32" t="s">
        <v>63</v>
      </c>
      <c r="AS32" t="s">
        <v>63</v>
      </c>
      <c r="AT32" t="s">
        <v>61</v>
      </c>
      <c r="AU32">
        <v>7</v>
      </c>
      <c r="AV32" t="s">
        <v>66</v>
      </c>
      <c r="AW32" t="s">
        <v>66</v>
      </c>
      <c r="AX32" t="s">
        <v>66</v>
      </c>
      <c r="AY32" t="s">
        <v>66</v>
      </c>
      <c r="AZ32" t="s">
        <v>66</v>
      </c>
      <c r="BA32" t="s">
        <v>66</v>
      </c>
      <c r="BB32">
        <v>80</v>
      </c>
      <c r="BC32" s="26" t="s">
        <v>107</v>
      </c>
      <c r="BD32" s="27" t="s">
        <v>258</v>
      </c>
      <c r="BE32" s="26" t="s">
        <v>672</v>
      </c>
      <c r="BF32" s="26" t="s">
        <v>599</v>
      </c>
      <c r="BG32" s="26" t="s">
        <v>79</v>
      </c>
      <c r="BH32" t="s">
        <v>63</v>
      </c>
      <c r="BI32" t="s">
        <v>465</v>
      </c>
      <c r="BJ32" s="3" t="s">
        <v>77</v>
      </c>
      <c r="BK32" t="s">
        <v>674</v>
      </c>
      <c r="BL32" s="4" t="s">
        <v>370</v>
      </c>
      <c r="BM32" s="4" t="s">
        <v>142</v>
      </c>
      <c r="BN32" s="4" t="s">
        <v>225</v>
      </c>
      <c r="BO32" s="4" t="s">
        <v>675</v>
      </c>
      <c r="BP32" s="4" t="s">
        <v>477</v>
      </c>
      <c r="BQ32" t="s">
        <v>78</v>
      </c>
      <c r="BR32" s="4" t="s">
        <v>77</v>
      </c>
      <c r="BS32" s="4" t="s">
        <v>219</v>
      </c>
      <c r="BT32" s="4" t="s">
        <v>258</v>
      </c>
      <c r="BU32" t="s">
        <v>672</v>
      </c>
      <c r="BV32" t="s">
        <v>599</v>
      </c>
      <c r="BW32" t="s">
        <v>79</v>
      </c>
      <c r="BX32" t="s">
        <v>673</v>
      </c>
      <c r="BY32" t="s">
        <v>465</v>
      </c>
      <c r="BZ32" s="3" t="s">
        <v>77</v>
      </c>
      <c r="CA32" t="s">
        <v>676</v>
      </c>
      <c r="CB32" s="4" t="s">
        <v>370</v>
      </c>
      <c r="CC32" s="4" t="s">
        <v>142</v>
      </c>
      <c r="CD32" s="4" t="s">
        <v>225</v>
      </c>
      <c r="CE32" s="4" t="s">
        <v>675</v>
      </c>
      <c r="CF32" s="4" t="s">
        <v>477</v>
      </c>
      <c r="CG32" t="s">
        <v>78</v>
      </c>
      <c r="CH32" s="3" t="s">
        <v>501</v>
      </c>
      <c r="CI32" t="s">
        <v>231</v>
      </c>
      <c r="CJ32" t="s">
        <v>96</v>
      </c>
      <c r="CK32" t="s">
        <v>63</v>
      </c>
      <c r="CL32" s="5" t="s">
        <v>248</v>
      </c>
      <c r="CM32" s="4" t="s">
        <v>312</v>
      </c>
      <c r="CN32" t="s">
        <v>674</v>
      </c>
      <c r="CO32">
        <v>4</v>
      </c>
      <c r="CP32" s="4" t="s">
        <v>279</v>
      </c>
      <c r="CQ32" s="3" t="s">
        <v>225</v>
      </c>
      <c r="CR32" s="4" t="s">
        <v>490</v>
      </c>
      <c r="CS32" s="4" t="s">
        <v>256</v>
      </c>
      <c r="CT32" t="s">
        <v>78</v>
      </c>
      <c r="CU32" s="3" t="s">
        <v>677</v>
      </c>
      <c r="CV32" t="s">
        <v>678</v>
      </c>
      <c r="CW32" s="4" t="s">
        <v>679</v>
      </c>
      <c r="CX32" s="4"/>
    </row>
    <row r="33" spans="1:103" x14ac:dyDescent="0.25">
      <c r="A33" t="s">
        <v>207</v>
      </c>
      <c r="B33" t="s">
        <v>125</v>
      </c>
      <c r="C33" s="1">
        <v>45888</v>
      </c>
      <c r="D33" t="s">
        <v>680</v>
      </c>
      <c r="E33" s="6">
        <v>47606441</v>
      </c>
      <c r="F33">
        <v>21</v>
      </c>
      <c r="G33">
        <v>18</v>
      </c>
      <c r="H33" t="s">
        <v>127</v>
      </c>
      <c r="I33" t="s">
        <v>127</v>
      </c>
      <c r="J33" t="s">
        <v>655</v>
      </c>
      <c r="K33" s="1">
        <v>33109</v>
      </c>
      <c r="L33" s="15">
        <f t="shared" si="0"/>
        <v>35</v>
      </c>
      <c r="M33" t="s">
        <v>59</v>
      </c>
      <c r="N33" t="s">
        <v>108</v>
      </c>
      <c r="O33" t="s">
        <v>60</v>
      </c>
      <c r="P33" t="s">
        <v>61</v>
      </c>
      <c r="Q33" t="s">
        <v>61</v>
      </c>
      <c r="R33" t="s">
        <v>285</v>
      </c>
      <c r="S33" t="s">
        <v>63</v>
      </c>
      <c r="T33" t="s">
        <v>66</v>
      </c>
      <c r="U33" t="s">
        <v>61</v>
      </c>
      <c r="V33" t="s">
        <v>1758</v>
      </c>
      <c r="W33" t="s">
        <v>1718</v>
      </c>
      <c r="X33" t="s">
        <v>66</v>
      </c>
      <c r="Y33" t="s">
        <v>66</v>
      </c>
      <c r="Z33" t="s">
        <v>66</v>
      </c>
      <c r="AA33" t="s">
        <v>66</v>
      </c>
      <c r="AB33" t="s">
        <v>63</v>
      </c>
      <c r="AC33" t="s">
        <v>66</v>
      </c>
      <c r="AD33">
        <v>3</v>
      </c>
      <c r="AE33">
        <v>2</v>
      </c>
      <c r="AF33" t="s">
        <v>61</v>
      </c>
      <c r="AG33" t="s">
        <v>132</v>
      </c>
      <c r="AH33" t="s">
        <v>63</v>
      </c>
      <c r="AI33" t="s">
        <v>66</v>
      </c>
      <c r="AJ33" t="s">
        <v>61</v>
      </c>
      <c r="AK33" t="s">
        <v>66</v>
      </c>
      <c r="AL33" t="s">
        <v>61</v>
      </c>
      <c r="AM33" t="s">
        <v>66</v>
      </c>
      <c r="AN33">
        <v>1</v>
      </c>
      <c r="AO33" t="s">
        <v>61</v>
      </c>
      <c r="AP33" t="s">
        <v>681</v>
      </c>
      <c r="AQ33" t="s">
        <v>682</v>
      </c>
      <c r="AR33" t="s">
        <v>63</v>
      </c>
      <c r="AS33" t="s">
        <v>63</v>
      </c>
      <c r="AT33" t="s">
        <v>61</v>
      </c>
      <c r="AU33">
        <v>6</v>
      </c>
      <c r="AV33" t="s">
        <v>66</v>
      </c>
      <c r="AW33" t="s">
        <v>66</v>
      </c>
      <c r="AX33" t="s">
        <v>66</v>
      </c>
      <c r="AY33" t="s">
        <v>66</v>
      </c>
      <c r="AZ33" t="s">
        <v>66</v>
      </c>
      <c r="BA33" t="s">
        <v>66</v>
      </c>
      <c r="BB33" s="3" t="s">
        <v>698</v>
      </c>
      <c r="BC33" t="s">
        <v>107</v>
      </c>
      <c r="BD33" s="4" t="s">
        <v>258</v>
      </c>
      <c r="BE33" t="s">
        <v>175</v>
      </c>
      <c r="BF33" t="s">
        <v>104</v>
      </c>
      <c r="BG33" t="s">
        <v>96</v>
      </c>
      <c r="BH33" t="s">
        <v>63</v>
      </c>
      <c r="BI33" t="s">
        <v>248</v>
      </c>
      <c r="BJ33" s="3" t="s">
        <v>484</v>
      </c>
      <c r="BK33" t="s">
        <v>683</v>
      </c>
      <c r="BL33" s="4" t="s">
        <v>274</v>
      </c>
      <c r="BM33" s="4" t="s">
        <v>279</v>
      </c>
      <c r="BN33" s="4" t="s">
        <v>315</v>
      </c>
      <c r="BO33" s="4" t="s">
        <v>172</v>
      </c>
      <c r="BP33" s="4" t="s">
        <v>140</v>
      </c>
      <c r="BQ33" t="s">
        <v>78</v>
      </c>
      <c r="BR33" s="4" t="s">
        <v>684</v>
      </c>
      <c r="BS33" t="s">
        <v>70</v>
      </c>
      <c r="BT33" s="4" t="s">
        <v>315</v>
      </c>
      <c r="BU33" s="4" t="s">
        <v>175</v>
      </c>
      <c r="BV33" t="s">
        <v>104</v>
      </c>
      <c r="BW33" t="s">
        <v>71</v>
      </c>
      <c r="BX33" t="s">
        <v>63</v>
      </c>
      <c r="BY33" s="5" t="s">
        <v>313</v>
      </c>
      <c r="BZ33" s="4" t="s">
        <v>315</v>
      </c>
      <c r="CA33" t="s">
        <v>685</v>
      </c>
      <c r="CB33" s="4" t="s">
        <v>175</v>
      </c>
      <c r="CC33" s="3" t="s">
        <v>260</v>
      </c>
      <c r="CD33" s="3" t="s">
        <v>84</v>
      </c>
      <c r="CE33" s="4" t="s">
        <v>686</v>
      </c>
      <c r="CF33">
        <v>1000</v>
      </c>
      <c r="CG33" t="s">
        <v>78</v>
      </c>
      <c r="CH33" s="3" t="s">
        <v>175</v>
      </c>
      <c r="CI33" s="4" t="s">
        <v>66</v>
      </c>
      <c r="CJ33" s="4" t="s">
        <v>66</v>
      </c>
      <c r="CK33" s="4" t="s">
        <v>66</v>
      </c>
      <c r="CL33" s="4" t="s">
        <v>66</v>
      </c>
      <c r="CM33" s="4" t="s">
        <v>66</v>
      </c>
      <c r="CN33" s="4" t="s">
        <v>66</v>
      </c>
      <c r="CO33" s="4" t="s">
        <v>66</v>
      </c>
      <c r="CP33" s="4" t="s">
        <v>66</v>
      </c>
      <c r="CQ33" s="4" t="s">
        <v>66</v>
      </c>
      <c r="CR33" s="4" t="s">
        <v>66</v>
      </c>
      <c r="CS33" s="4" t="s">
        <v>66</v>
      </c>
      <c r="CT33" s="4" t="s">
        <v>66</v>
      </c>
      <c r="CU33" s="4" t="s">
        <v>66</v>
      </c>
      <c r="CV33" t="s">
        <v>688</v>
      </c>
      <c r="CW33" s="4" t="s">
        <v>687</v>
      </c>
      <c r="CX33" s="4" t="s">
        <v>1686</v>
      </c>
      <c r="CY33" t="s">
        <v>1700</v>
      </c>
    </row>
    <row r="34" spans="1:103" x14ac:dyDescent="0.25">
      <c r="A34" t="s">
        <v>208</v>
      </c>
      <c r="B34" t="s">
        <v>125</v>
      </c>
      <c r="C34" s="1">
        <v>45888</v>
      </c>
      <c r="D34" t="s">
        <v>689</v>
      </c>
      <c r="E34" s="6">
        <v>40790670</v>
      </c>
      <c r="F34">
        <v>28</v>
      </c>
      <c r="G34">
        <v>23</v>
      </c>
      <c r="H34" t="s">
        <v>690</v>
      </c>
      <c r="I34" t="s">
        <v>691</v>
      </c>
      <c r="J34" t="s">
        <v>127</v>
      </c>
      <c r="K34" s="1">
        <v>28291</v>
      </c>
      <c r="L34" s="15">
        <f t="shared" si="0"/>
        <v>48</v>
      </c>
      <c r="M34" t="s">
        <v>59</v>
      </c>
      <c r="N34" t="s">
        <v>108</v>
      </c>
      <c r="O34" t="s">
        <v>60</v>
      </c>
      <c r="P34" t="s">
        <v>61</v>
      </c>
      <c r="Q34" t="s">
        <v>61</v>
      </c>
      <c r="R34" t="s">
        <v>62</v>
      </c>
      <c r="S34" t="s">
        <v>61</v>
      </c>
      <c r="T34" t="s">
        <v>692</v>
      </c>
      <c r="U34" t="s">
        <v>63</v>
      </c>
      <c r="V34" t="s">
        <v>66</v>
      </c>
      <c r="W34" t="s">
        <v>66</v>
      </c>
      <c r="X34" t="s">
        <v>66</v>
      </c>
      <c r="Y34" t="s">
        <v>66</v>
      </c>
      <c r="Z34" t="s">
        <v>66</v>
      </c>
      <c r="AA34" t="s">
        <v>66</v>
      </c>
      <c r="AB34" t="s">
        <v>63</v>
      </c>
      <c r="AC34" t="s">
        <v>66</v>
      </c>
      <c r="AD34">
        <v>5</v>
      </c>
      <c r="AE34">
        <v>4</v>
      </c>
      <c r="AF34" t="s">
        <v>61</v>
      </c>
      <c r="AG34" t="s">
        <v>132</v>
      </c>
      <c r="AH34" t="s">
        <v>63</v>
      </c>
      <c r="AI34" t="s">
        <v>66</v>
      </c>
      <c r="AJ34" t="s">
        <v>61</v>
      </c>
      <c r="AK34" t="s">
        <v>693</v>
      </c>
      <c r="AL34" t="s">
        <v>61</v>
      </c>
      <c r="AM34" t="s">
        <v>66</v>
      </c>
      <c r="AN34">
        <v>2</v>
      </c>
      <c r="AO34" t="s">
        <v>61</v>
      </c>
      <c r="AP34" t="s">
        <v>695</v>
      </c>
      <c r="AQ34" t="s">
        <v>694</v>
      </c>
      <c r="AR34" t="s">
        <v>63</v>
      </c>
      <c r="AS34" t="s">
        <v>63</v>
      </c>
      <c r="AT34" t="s">
        <v>61</v>
      </c>
      <c r="AU34">
        <v>32</v>
      </c>
      <c r="AV34" t="s">
        <v>697</v>
      </c>
      <c r="AW34" t="s">
        <v>696</v>
      </c>
      <c r="AX34" t="s">
        <v>63</v>
      </c>
      <c r="AY34" t="s">
        <v>63</v>
      </c>
      <c r="AZ34" t="s">
        <v>61</v>
      </c>
      <c r="BA34">
        <v>32</v>
      </c>
      <c r="BB34" s="3" t="s">
        <v>699</v>
      </c>
      <c r="BC34" t="s">
        <v>161</v>
      </c>
      <c r="BD34" s="4" t="s">
        <v>700</v>
      </c>
      <c r="BE34" t="s">
        <v>388</v>
      </c>
      <c r="BF34" t="s">
        <v>104</v>
      </c>
      <c r="BG34" t="s">
        <v>163</v>
      </c>
      <c r="BH34" t="s">
        <v>63</v>
      </c>
      <c r="BI34" t="s">
        <v>167</v>
      </c>
      <c r="BJ34" s="3" t="s">
        <v>272</v>
      </c>
      <c r="BK34" t="s">
        <v>273</v>
      </c>
      <c r="BL34" s="4" t="s">
        <v>701</v>
      </c>
      <c r="BM34" s="4" t="s">
        <v>93</v>
      </c>
      <c r="BN34" s="4" t="s">
        <v>93</v>
      </c>
      <c r="BO34" s="4" t="s">
        <v>702</v>
      </c>
      <c r="BP34">
        <v>12000</v>
      </c>
      <c r="BQ34" t="s">
        <v>704</v>
      </c>
      <c r="BR34" s="4" t="s">
        <v>703</v>
      </c>
      <c r="BS34" s="4" t="s">
        <v>66</v>
      </c>
      <c r="BT34" s="4" t="s">
        <v>66</v>
      </c>
      <c r="BU34" s="4" t="s">
        <v>66</v>
      </c>
      <c r="BV34" s="4" t="s">
        <v>66</v>
      </c>
      <c r="BW34" s="4" t="s">
        <v>66</v>
      </c>
      <c r="BX34" s="4" t="s">
        <v>66</v>
      </c>
      <c r="BY34" s="4" t="s">
        <v>66</v>
      </c>
      <c r="BZ34" s="4" t="s">
        <v>66</v>
      </c>
      <c r="CA34" s="4" t="s">
        <v>66</v>
      </c>
      <c r="CB34" s="4" t="s">
        <v>66</v>
      </c>
      <c r="CC34" s="4" t="s">
        <v>66</v>
      </c>
      <c r="CD34" s="4" t="s">
        <v>66</v>
      </c>
      <c r="CE34" s="4" t="s">
        <v>66</v>
      </c>
      <c r="CF34" s="4" t="s">
        <v>66</v>
      </c>
      <c r="CG34" s="4" t="s">
        <v>66</v>
      </c>
      <c r="CH34" s="4" t="s">
        <v>66</v>
      </c>
      <c r="CI34" s="4" t="s">
        <v>66</v>
      </c>
      <c r="CJ34" s="4" t="s">
        <v>66</v>
      </c>
      <c r="CK34" s="4" t="s">
        <v>66</v>
      </c>
      <c r="CL34" s="4" t="s">
        <v>66</v>
      </c>
      <c r="CM34" s="4" t="s">
        <v>66</v>
      </c>
      <c r="CN34" s="4" t="s">
        <v>66</v>
      </c>
      <c r="CO34" s="4" t="s">
        <v>66</v>
      </c>
      <c r="CP34" s="4" t="s">
        <v>66</v>
      </c>
      <c r="CQ34" s="4" t="s">
        <v>66</v>
      </c>
      <c r="CR34" s="4" t="s">
        <v>66</v>
      </c>
      <c r="CS34" s="4" t="s">
        <v>66</v>
      </c>
      <c r="CT34" s="4" t="s">
        <v>66</v>
      </c>
      <c r="CU34" s="4" t="s">
        <v>66</v>
      </c>
      <c r="CV34" t="s">
        <v>705</v>
      </c>
      <c r="CW34" s="4" t="s">
        <v>706</v>
      </c>
      <c r="CX34" s="4" t="s">
        <v>1686</v>
      </c>
    </row>
    <row r="35" spans="1:103" x14ac:dyDescent="0.25">
      <c r="A35" t="s">
        <v>438</v>
      </c>
      <c r="B35" t="s">
        <v>125</v>
      </c>
      <c r="C35" s="1">
        <v>45889</v>
      </c>
      <c r="D35" t="s">
        <v>708</v>
      </c>
      <c r="E35" s="6">
        <v>44950588</v>
      </c>
      <c r="F35">
        <v>20</v>
      </c>
      <c r="G35">
        <v>15</v>
      </c>
      <c r="H35" t="s">
        <v>707</v>
      </c>
      <c r="I35" t="s">
        <v>127</v>
      </c>
      <c r="J35" t="s">
        <v>127</v>
      </c>
      <c r="K35" s="1">
        <v>32159</v>
      </c>
      <c r="L35" s="15">
        <f t="shared" si="0"/>
        <v>37</v>
      </c>
      <c r="M35" t="s">
        <v>59</v>
      </c>
      <c r="N35" t="s">
        <v>108</v>
      </c>
      <c r="O35" t="s">
        <v>322</v>
      </c>
      <c r="P35" t="s">
        <v>61</v>
      </c>
      <c r="Q35" t="s">
        <v>61</v>
      </c>
      <c r="R35" t="s">
        <v>129</v>
      </c>
      <c r="S35" t="s">
        <v>63</v>
      </c>
      <c r="T35" t="s">
        <v>66</v>
      </c>
      <c r="U35" t="s">
        <v>61</v>
      </c>
      <c r="V35" t="s">
        <v>1758</v>
      </c>
      <c r="W35" t="s">
        <v>1719</v>
      </c>
      <c r="X35" t="s">
        <v>1728</v>
      </c>
      <c r="Y35" t="s">
        <v>1719</v>
      </c>
      <c r="Z35" t="s">
        <v>66</v>
      </c>
      <c r="AA35" t="s">
        <v>66</v>
      </c>
      <c r="AB35" t="s">
        <v>63</v>
      </c>
      <c r="AC35" t="s">
        <v>66</v>
      </c>
      <c r="AD35">
        <v>8</v>
      </c>
      <c r="AE35">
        <v>3</v>
      </c>
      <c r="AF35" t="s">
        <v>61</v>
      </c>
      <c r="AG35" t="s">
        <v>132</v>
      </c>
      <c r="AH35" t="s">
        <v>63</v>
      </c>
      <c r="AI35" t="s">
        <v>66</v>
      </c>
      <c r="AJ35" t="s">
        <v>61</v>
      </c>
      <c r="AK35" t="s">
        <v>66</v>
      </c>
      <c r="AL35" t="s">
        <v>61</v>
      </c>
      <c r="AM35" t="s">
        <v>66</v>
      </c>
      <c r="AN35">
        <v>0</v>
      </c>
      <c r="AO35" t="s">
        <v>63</v>
      </c>
      <c r="AP35" t="s">
        <v>709</v>
      </c>
      <c r="AQ35" t="s">
        <v>93</v>
      </c>
      <c r="AR35" t="s">
        <v>63</v>
      </c>
      <c r="AS35" t="s">
        <v>63</v>
      </c>
      <c r="AT35" t="s">
        <v>61</v>
      </c>
      <c r="AU35">
        <v>9</v>
      </c>
      <c r="AV35" t="s">
        <v>66</v>
      </c>
      <c r="AW35" t="s">
        <v>66</v>
      </c>
      <c r="AX35" t="s">
        <v>66</v>
      </c>
      <c r="AY35" t="s">
        <v>66</v>
      </c>
      <c r="AZ35" t="s">
        <v>66</v>
      </c>
      <c r="BA35" t="s">
        <v>66</v>
      </c>
      <c r="BB35" s="3" t="s">
        <v>710</v>
      </c>
      <c r="BC35" t="s">
        <v>161</v>
      </c>
      <c r="BD35" s="4" t="s">
        <v>258</v>
      </c>
      <c r="BE35" t="s">
        <v>175</v>
      </c>
      <c r="BF35" t="s">
        <v>104</v>
      </c>
      <c r="BG35" t="s">
        <v>163</v>
      </c>
      <c r="BH35" t="s">
        <v>63</v>
      </c>
      <c r="BI35" t="s">
        <v>167</v>
      </c>
      <c r="BJ35" s="3" t="s">
        <v>712</v>
      </c>
      <c r="BK35" t="s">
        <v>711</v>
      </c>
      <c r="BL35" s="4" t="s">
        <v>408</v>
      </c>
      <c r="BM35" s="4" t="s">
        <v>93</v>
      </c>
      <c r="BN35" s="4" t="s">
        <v>93</v>
      </c>
      <c r="BO35" t="s">
        <v>411</v>
      </c>
      <c r="BP35" s="4" t="s">
        <v>372</v>
      </c>
      <c r="BQ35" t="s">
        <v>78</v>
      </c>
      <c r="BR35" s="4" t="s">
        <v>713</v>
      </c>
      <c r="BS35" s="4" t="s">
        <v>66</v>
      </c>
      <c r="BT35" s="4" t="s">
        <v>66</v>
      </c>
      <c r="BU35" s="4" t="s">
        <v>66</v>
      </c>
      <c r="BV35" s="4" t="s">
        <v>66</v>
      </c>
      <c r="BW35" s="4" t="s">
        <v>66</v>
      </c>
      <c r="BX35" s="4" t="s">
        <v>66</v>
      </c>
      <c r="BY35" s="4" t="s">
        <v>66</v>
      </c>
      <c r="BZ35" s="4" t="s">
        <v>66</v>
      </c>
      <c r="CA35" s="4" t="s">
        <v>66</v>
      </c>
      <c r="CB35" s="4" t="s">
        <v>66</v>
      </c>
      <c r="CC35" s="4" t="s">
        <v>66</v>
      </c>
      <c r="CD35" s="4" t="s">
        <v>66</v>
      </c>
      <c r="CE35" s="4" t="s">
        <v>66</v>
      </c>
      <c r="CF35" s="4" t="s">
        <v>66</v>
      </c>
      <c r="CG35" s="4" t="s">
        <v>66</v>
      </c>
      <c r="CH35" s="4" t="s">
        <v>66</v>
      </c>
      <c r="CI35" s="4" t="s">
        <v>66</v>
      </c>
      <c r="CJ35" s="4" t="s">
        <v>66</v>
      </c>
      <c r="CK35" s="4" t="s">
        <v>66</v>
      </c>
      <c r="CL35" s="4" t="s">
        <v>66</v>
      </c>
      <c r="CM35" s="4" t="s">
        <v>66</v>
      </c>
      <c r="CN35" s="4" t="s">
        <v>66</v>
      </c>
      <c r="CO35" s="4" t="s">
        <v>66</v>
      </c>
      <c r="CP35" s="4" t="s">
        <v>66</v>
      </c>
      <c r="CQ35" s="4" t="s">
        <v>66</v>
      </c>
      <c r="CR35" s="4" t="s">
        <v>66</v>
      </c>
      <c r="CS35" s="4" t="s">
        <v>66</v>
      </c>
      <c r="CT35" s="4" t="s">
        <v>66</v>
      </c>
      <c r="CU35" s="4" t="s">
        <v>66</v>
      </c>
      <c r="CV35" t="s">
        <v>714</v>
      </c>
      <c r="CW35" s="4" t="s">
        <v>715</v>
      </c>
      <c r="CX35" s="4" t="s">
        <v>1686</v>
      </c>
    </row>
    <row r="36" spans="1:103" x14ac:dyDescent="0.25">
      <c r="A36" t="s">
        <v>439</v>
      </c>
      <c r="B36" t="s">
        <v>125</v>
      </c>
      <c r="C36" s="1">
        <v>45889</v>
      </c>
      <c r="D36" t="s">
        <v>716</v>
      </c>
      <c r="E36" s="6">
        <v>48436622</v>
      </c>
      <c r="F36">
        <v>21</v>
      </c>
      <c r="G36">
        <v>21</v>
      </c>
      <c r="H36" t="s">
        <v>127</v>
      </c>
      <c r="I36" t="s">
        <v>127</v>
      </c>
      <c r="J36" t="s">
        <v>717</v>
      </c>
      <c r="K36" s="1">
        <v>32530</v>
      </c>
      <c r="L36" s="15">
        <f t="shared" si="0"/>
        <v>36</v>
      </c>
      <c r="M36" t="s">
        <v>59</v>
      </c>
      <c r="N36" t="s">
        <v>108</v>
      </c>
      <c r="O36" t="s">
        <v>322</v>
      </c>
      <c r="P36" t="s">
        <v>61</v>
      </c>
      <c r="Q36" t="s">
        <v>61</v>
      </c>
      <c r="R36" t="s">
        <v>129</v>
      </c>
      <c r="S36" t="s">
        <v>61</v>
      </c>
      <c r="T36" t="s">
        <v>130</v>
      </c>
      <c r="U36" t="s">
        <v>61</v>
      </c>
      <c r="V36" t="s">
        <v>1758</v>
      </c>
      <c r="W36" t="s">
        <v>1720</v>
      </c>
      <c r="X36" t="s">
        <v>66</v>
      </c>
      <c r="Y36" t="s">
        <v>66</v>
      </c>
      <c r="Z36" t="s">
        <v>66</v>
      </c>
      <c r="AA36" t="s">
        <v>66</v>
      </c>
      <c r="AB36" t="s">
        <v>63</v>
      </c>
      <c r="AC36" t="s">
        <v>66</v>
      </c>
      <c r="AD36">
        <v>6</v>
      </c>
      <c r="AE36">
        <v>5</v>
      </c>
      <c r="AF36" t="s">
        <v>61</v>
      </c>
      <c r="AG36" t="s">
        <v>132</v>
      </c>
      <c r="AH36" t="s">
        <v>63</v>
      </c>
      <c r="AI36" t="s">
        <v>66</v>
      </c>
      <c r="AJ36" t="s">
        <v>63</v>
      </c>
      <c r="AK36" t="s">
        <v>718</v>
      </c>
      <c r="AL36" t="s">
        <v>61</v>
      </c>
      <c r="AM36" t="s">
        <v>66</v>
      </c>
      <c r="AN36">
        <v>0</v>
      </c>
      <c r="AO36" t="s">
        <v>63</v>
      </c>
      <c r="AP36" t="s">
        <v>720</v>
      </c>
      <c r="AQ36" t="s">
        <v>719</v>
      </c>
      <c r="AR36" t="s">
        <v>63</v>
      </c>
      <c r="AS36" t="s">
        <v>63</v>
      </c>
      <c r="AT36" t="s">
        <v>61</v>
      </c>
      <c r="AU36">
        <v>8</v>
      </c>
      <c r="AV36" t="s">
        <v>66</v>
      </c>
      <c r="AW36" t="s">
        <v>66</v>
      </c>
      <c r="AX36" t="s">
        <v>66</v>
      </c>
      <c r="AY36" t="s">
        <v>66</v>
      </c>
      <c r="AZ36" t="s">
        <v>66</v>
      </c>
      <c r="BA36" t="s">
        <v>66</v>
      </c>
      <c r="BB36" s="3" t="s">
        <v>721</v>
      </c>
      <c r="BC36" t="s">
        <v>107</v>
      </c>
      <c r="BD36" s="4" t="s">
        <v>315</v>
      </c>
      <c r="BE36" t="s">
        <v>525</v>
      </c>
      <c r="BF36" t="s">
        <v>599</v>
      </c>
      <c r="BG36" t="s">
        <v>96</v>
      </c>
      <c r="BH36" t="s">
        <v>63</v>
      </c>
      <c r="BI36" t="s">
        <v>347</v>
      </c>
      <c r="BJ36" s="3" t="s">
        <v>175</v>
      </c>
      <c r="BK36" t="s">
        <v>724</v>
      </c>
      <c r="BL36" s="4" t="s">
        <v>722</v>
      </c>
      <c r="BM36" s="4" t="s">
        <v>723</v>
      </c>
      <c r="BN36" s="4" t="s">
        <v>344</v>
      </c>
      <c r="BO36" s="4" t="s">
        <v>725</v>
      </c>
      <c r="BP36" s="4" t="s">
        <v>726</v>
      </c>
      <c r="BQ36" t="s">
        <v>78</v>
      </c>
      <c r="BR36" s="4" t="s">
        <v>315</v>
      </c>
      <c r="BS36" t="s">
        <v>161</v>
      </c>
      <c r="BT36" s="4" t="s">
        <v>315</v>
      </c>
      <c r="BU36" s="4" t="s">
        <v>525</v>
      </c>
      <c r="BV36" t="s">
        <v>599</v>
      </c>
      <c r="BW36" t="s">
        <v>163</v>
      </c>
      <c r="BX36" t="s">
        <v>63</v>
      </c>
      <c r="BY36" t="s">
        <v>167</v>
      </c>
      <c r="BZ36" s="4" t="s">
        <v>727</v>
      </c>
      <c r="CA36" s="4" t="s">
        <v>728</v>
      </c>
      <c r="CB36" s="4" t="s">
        <v>274</v>
      </c>
      <c r="CC36" s="4" t="s">
        <v>93</v>
      </c>
      <c r="CD36" s="4" t="s">
        <v>93</v>
      </c>
      <c r="CE36" s="4" t="s">
        <v>94</v>
      </c>
      <c r="CF36" s="4" t="s">
        <v>729</v>
      </c>
      <c r="CG36" t="s">
        <v>78</v>
      </c>
      <c r="CH36" s="3" t="s">
        <v>730</v>
      </c>
      <c r="CI36" s="4" t="s">
        <v>66</v>
      </c>
      <c r="CJ36" s="4" t="s">
        <v>66</v>
      </c>
      <c r="CK36" s="4" t="s">
        <v>66</v>
      </c>
      <c r="CL36" s="4" t="s">
        <v>66</v>
      </c>
      <c r="CM36" s="4" t="s">
        <v>66</v>
      </c>
      <c r="CN36" s="4" t="s">
        <v>66</v>
      </c>
      <c r="CO36" s="4" t="s">
        <v>66</v>
      </c>
      <c r="CP36" s="4" t="s">
        <v>66</v>
      </c>
      <c r="CQ36" s="4" t="s">
        <v>66</v>
      </c>
      <c r="CR36" s="4" t="s">
        <v>66</v>
      </c>
      <c r="CS36" s="4" t="s">
        <v>66</v>
      </c>
      <c r="CT36" s="4" t="s">
        <v>66</v>
      </c>
      <c r="CU36" s="4" t="s">
        <v>66</v>
      </c>
      <c r="CV36" t="s">
        <v>731</v>
      </c>
      <c r="CW36" s="4" t="s">
        <v>732</v>
      </c>
      <c r="CX36" s="4" t="s">
        <v>1686</v>
      </c>
    </row>
    <row r="37" spans="1:103" x14ac:dyDescent="0.25">
      <c r="A37" t="s">
        <v>440</v>
      </c>
      <c r="B37" t="s">
        <v>125</v>
      </c>
      <c r="C37" s="1">
        <v>45889</v>
      </c>
      <c r="D37" t="s">
        <v>734</v>
      </c>
      <c r="E37" s="7" t="s">
        <v>733</v>
      </c>
      <c r="F37">
        <v>25</v>
      </c>
      <c r="G37">
        <v>20</v>
      </c>
      <c r="H37" t="s">
        <v>127</v>
      </c>
      <c r="I37" t="s">
        <v>127</v>
      </c>
      <c r="J37" t="s">
        <v>127</v>
      </c>
      <c r="K37" s="1">
        <v>22992</v>
      </c>
      <c r="L37" s="15">
        <f t="shared" si="0"/>
        <v>62</v>
      </c>
      <c r="M37" t="s">
        <v>59</v>
      </c>
      <c r="N37" t="s">
        <v>108</v>
      </c>
      <c r="O37" t="s">
        <v>322</v>
      </c>
      <c r="P37" t="s">
        <v>61</v>
      </c>
      <c r="Q37" t="s">
        <v>506</v>
      </c>
      <c r="R37" t="s">
        <v>62</v>
      </c>
      <c r="S37" t="s">
        <v>61</v>
      </c>
      <c r="T37" t="s">
        <v>130</v>
      </c>
      <c r="U37" t="s">
        <v>61</v>
      </c>
      <c r="V37" t="s">
        <v>1758</v>
      </c>
      <c r="W37" t="s">
        <v>1721</v>
      </c>
      <c r="X37" t="s">
        <v>66</v>
      </c>
      <c r="Y37" t="s">
        <v>66</v>
      </c>
      <c r="Z37" t="s">
        <v>66</v>
      </c>
      <c r="AA37" t="s">
        <v>66</v>
      </c>
      <c r="AB37" t="s">
        <v>63</v>
      </c>
      <c r="AC37" t="s">
        <v>66</v>
      </c>
      <c r="AD37">
        <v>6</v>
      </c>
      <c r="AE37">
        <v>5</v>
      </c>
      <c r="AF37" t="s">
        <v>61</v>
      </c>
      <c r="AG37" t="s">
        <v>132</v>
      </c>
      <c r="AH37" t="s">
        <v>61</v>
      </c>
      <c r="AI37" t="s">
        <v>735</v>
      </c>
      <c r="AJ37" t="s">
        <v>63</v>
      </c>
      <c r="AK37" t="s">
        <v>736</v>
      </c>
      <c r="AL37" t="s">
        <v>61</v>
      </c>
      <c r="AM37" t="s">
        <v>66</v>
      </c>
      <c r="AN37">
        <v>2</v>
      </c>
      <c r="AO37" t="s">
        <v>61</v>
      </c>
      <c r="AP37" t="s">
        <v>737</v>
      </c>
      <c r="AQ37" t="s">
        <v>738</v>
      </c>
      <c r="AR37" t="s">
        <v>63</v>
      </c>
      <c r="AS37" t="s">
        <v>63</v>
      </c>
      <c r="AT37" t="s">
        <v>61</v>
      </c>
      <c r="AU37">
        <v>6</v>
      </c>
      <c r="AV37" t="s">
        <v>739</v>
      </c>
      <c r="AW37" t="s">
        <v>740</v>
      </c>
      <c r="AX37" t="s">
        <v>63</v>
      </c>
      <c r="AY37" t="s">
        <v>63</v>
      </c>
      <c r="AZ37" t="s">
        <v>61</v>
      </c>
      <c r="BA37">
        <v>6</v>
      </c>
      <c r="BB37" s="3" t="s">
        <v>741</v>
      </c>
      <c r="BC37" t="s">
        <v>107</v>
      </c>
      <c r="BD37" s="4" t="s">
        <v>258</v>
      </c>
      <c r="BE37" t="s">
        <v>162</v>
      </c>
      <c r="BF37" t="s">
        <v>104</v>
      </c>
      <c r="BG37" t="s">
        <v>96</v>
      </c>
      <c r="BH37" t="s">
        <v>63</v>
      </c>
      <c r="BI37" t="s">
        <v>167</v>
      </c>
      <c r="BJ37" s="3" t="s">
        <v>727</v>
      </c>
      <c r="BK37" t="s">
        <v>742</v>
      </c>
      <c r="BL37" s="4" t="s">
        <v>274</v>
      </c>
      <c r="BM37" s="4" t="s">
        <v>142</v>
      </c>
      <c r="BN37" s="4" t="s">
        <v>234</v>
      </c>
      <c r="BO37" s="4" t="s">
        <v>345</v>
      </c>
      <c r="BP37" s="4" t="s">
        <v>477</v>
      </c>
      <c r="BQ37" t="s">
        <v>78</v>
      </c>
      <c r="BR37" s="4" t="s">
        <v>225</v>
      </c>
      <c r="BS37" s="4" t="s">
        <v>66</v>
      </c>
      <c r="BT37" s="4" t="s">
        <v>66</v>
      </c>
      <c r="BU37" s="4" t="s">
        <v>66</v>
      </c>
      <c r="BV37" s="4" t="s">
        <v>66</v>
      </c>
      <c r="BW37" s="4" t="s">
        <v>66</v>
      </c>
      <c r="BX37" s="4" t="s">
        <v>66</v>
      </c>
      <c r="BY37" s="4" t="s">
        <v>66</v>
      </c>
      <c r="BZ37" s="4" t="s">
        <v>66</v>
      </c>
      <c r="CA37" s="4" t="s">
        <v>66</v>
      </c>
      <c r="CB37" s="4" t="s">
        <v>66</v>
      </c>
      <c r="CC37" s="4" t="s">
        <v>66</v>
      </c>
      <c r="CD37" s="4" t="s">
        <v>66</v>
      </c>
      <c r="CE37" s="4" t="s">
        <v>66</v>
      </c>
      <c r="CF37" s="4" t="s">
        <v>66</v>
      </c>
      <c r="CG37" s="4" t="s">
        <v>66</v>
      </c>
      <c r="CH37" s="4" t="s">
        <v>66</v>
      </c>
      <c r="CI37" s="4" t="s">
        <v>66</v>
      </c>
      <c r="CJ37" s="4" t="s">
        <v>66</v>
      </c>
      <c r="CK37" s="4" t="s">
        <v>66</v>
      </c>
      <c r="CL37" s="4" t="s">
        <v>66</v>
      </c>
      <c r="CM37" s="4" t="s">
        <v>66</v>
      </c>
      <c r="CN37" s="4" t="s">
        <v>66</v>
      </c>
      <c r="CO37" s="4" t="s">
        <v>66</v>
      </c>
      <c r="CP37" s="4" t="s">
        <v>66</v>
      </c>
      <c r="CQ37" s="4" t="s">
        <v>66</v>
      </c>
      <c r="CR37" s="4" t="s">
        <v>66</v>
      </c>
      <c r="CS37" s="4" t="s">
        <v>66</v>
      </c>
      <c r="CT37" s="4" t="s">
        <v>66</v>
      </c>
      <c r="CU37" s="4" t="s">
        <v>66</v>
      </c>
      <c r="CV37" t="s">
        <v>743</v>
      </c>
      <c r="CW37" s="4" t="s">
        <v>469</v>
      </c>
    </row>
    <row r="38" spans="1:103" x14ac:dyDescent="0.25">
      <c r="A38" t="s">
        <v>441</v>
      </c>
      <c r="B38" t="s">
        <v>125</v>
      </c>
      <c r="C38" s="1">
        <v>45889</v>
      </c>
      <c r="D38" t="s">
        <v>744</v>
      </c>
      <c r="E38" s="6">
        <v>47533671</v>
      </c>
      <c r="F38">
        <v>18</v>
      </c>
      <c r="G38">
        <v>18</v>
      </c>
      <c r="H38" t="s">
        <v>707</v>
      </c>
      <c r="I38" t="s">
        <v>127</v>
      </c>
      <c r="J38" t="s">
        <v>127</v>
      </c>
      <c r="K38" s="1">
        <v>33938</v>
      </c>
      <c r="L38" s="15">
        <f t="shared" si="0"/>
        <v>32</v>
      </c>
      <c r="M38" t="s">
        <v>59</v>
      </c>
      <c r="N38" t="s">
        <v>108</v>
      </c>
      <c r="O38" t="s">
        <v>322</v>
      </c>
      <c r="P38" t="s">
        <v>61</v>
      </c>
      <c r="Q38" t="s">
        <v>61</v>
      </c>
      <c r="R38" t="s">
        <v>129</v>
      </c>
      <c r="S38" t="s">
        <v>63</v>
      </c>
      <c r="T38" t="s">
        <v>66</v>
      </c>
      <c r="U38" t="s">
        <v>61</v>
      </c>
      <c r="V38" t="s">
        <v>1758</v>
      </c>
      <c r="W38" t="s">
        <v>1710</v>
      </c>
      <c r="X38" t="s">
        <v>1728</v>
      </c>
      <c r="Y38" t="s">
        <v>1708</v>
      </c>
      <c r="Z38" t="s">
        <v>66</v>
      </c>
      <c r="AA38" t="s">
        <v>66</v>
      </c>
      <c r="AB38" t="s">
        <v>61</v>
      </c>
      <c r="AC38" t="s">
        <v>355</v>
      </c>
      <c r="AD38">
        <v>6</v>
      </c>
      <c r="AE38">
        <v>3</v>
      </c>
      <c r="AF38" t="s">
        <v>61</v>
      </c>
      <c r="AG38" t="s">
        <v>132</v>
      </c>
      <c r="AH38" t="s">
        <v>63</v>
      </c>
      <c r="AI38" t="s">
        <v>66</v>
      </c>
      <c r="AJ38" t="s">
        <v>61</v>
      </c>
      <c r="AK38" t="s">
        <v>66</v>
      </c>
      <c r="AL38" t="s">
        <v>61</v>
      </c>
      <c r="AM38" t="s">
        <v>66</v>
      </c>
      <c r="AN38">
        <v>0</v>
      </c>
      <c r="AO38" t="s">
        <v>63</v>
      </c>
      <c r="AP38" t="s">
        <v>746</v>
      </c>
      <c r="AQ38" t="s">
        <v>745</v>
      </c>
      <c r="AR38" t="s">
        <v>63</v>
      </c>
      <c r="AS38" t="s">
        <v>63</v>
      </c>
      <c r="AT38" t="s">
        <v>61</v>
      </c>
      <c r="AU38">
        <v>10</v>
      </c>
      <c r="AV38" t="s">
        <v>66</v>
      </c>
      <c r="AW38" t="s">
        <v>66</v>
      </c>
      <c r="AX38" t="s">
        <v>66</v>
      </c>
      <c r="AY38" t="s">
        <v>66</v>
      </c>
      <c r="AZ38" t="s">
        <v>66</v>
      </c>
      <c r="BA38" t="s">
        <v>66</v>
      </c>
      <c r="BB38" s="3" t="s">
        <v>747</v>
      </c>
      <c r="BC38" t="s">
        <v>161</v>
      </c>
      <c r="BD38" s="4" t="s">
        <v>258</v>
      </c>
      <c r="BE38" t="s">
        <v>230</v>
      </c>
      <c r="BF38" t="s">
        <v>599</v>
      </c>
      <c r="BG38" t="s">
        <v>163</v>
      </c>
      <c r="BH38" t="s">
        <v>63</v>
      </c>
      <c r="BI38" t="s">
        <v>167</v>
      </c>
      <c r="BJ38" s="3" t="s">
        <v>419</v>
      </c>
      <c r="BK38" t="s">
        <v>421</v>
      </c>
      <c r="BL38" s="4" t="s">
        <v>748</v>
      </c>
      <c r="BM38" s="4" t="s">
        <v>93</v>
      </c>
      <c r="BN38" s="4" t="s">
        <v>93</v>
      </c>
      <c r="BO38" s="4" t="s">
        <v>749</v>
      </c>
      <c r="BP38">
        <v>4000</v>
      </c>
      <c r="BQ38" t="s">
        <v>78</v>
      </c>
      <c r="BR38" s="4" t="s">
        <v>750</v>
      </c>
      <c r="BS38" s="4" t="s">
        <v>66</v>
      </c>
      <c r="BT38" s="4" t="s">
        <v>66</v>
      </c>
      <c r="BU38" s="4" t="s">
        <v>66</v>
      </c>
      <c r="BV38" s="4" t="s">
        <v>66</v>
      </c>
      <c r="BW38" s="4" t="s">
        <v>66</v>
      </c>
      <c r="BX38" s="4" t="s">
        <v>66</v>
      </c>
      <c r="BY38" s="4" t="s">
        <v>66</v>
      </c>
      <c r="BZ38" s="4" t="s">
        <v>66</v>
      </c>
      <c r="CA38" s="4" t="s">
        <v>66</v>
      </c>
      <c r="CB38" s="4" t="s">
        <v>66</v>
      </c>
      <c r="CC38" s="4" t="s">
        <v>66</v>
      </c>
      <c r="CD38" s="4" t="s">
        <v>66</v>
      </c>
      <c r="CE38" s="4" t="s">
        <v>66</v>
      </c>
      <c r="CF38" s="4" t="s">
        <v>66</v>
      </c>
      <c r="CG38" s="4" t="s">
        <v>66</v>
      </c>
      <c r="CH38" s="4" t="s">
        <v>66</v>
      </c>
      <c r="CI38" s="4" t="s">
        <v>66</v>
      </c>
      <c r="CJ38" s="4" t="s">
        <v>66</v>
      </c>
      <c r="CK38" s="4" t="s">
        <v>66</v>
      </c>
      <c r="CL38" s="4" t="s">
        <v>66</v>
      </c>
      <c r="CM38" s="4" t="s">
        <v>66</v>
      </c>
      <c r="CN38" s="4" t="s">
        <v>66</v>
      </c>
      <c r="CO38" s="4" t="s">
        <v>66</v>
      </c>
      <c r="CP38" s="4" t="s">
        <v>66</v>
      </c>
      <c r="CQ38" s="4" t="s">
        <v>66</v>
      </c>
      <c r="CR38" s="4" t="s">
        <v>66</v>
      </c>
      <c r="CS38" s="4" t="s">
        <v>66</v>
      </c>
      <c r="CT38" s="4" t="s">
        <v>66</v>
      </c>
      <c r="CU38" s="4" t="s">
        <v>66</v>
      </c>
      <c r="CV38" t="s">
        <v>751</v>
      </c>
      <c r="CW38" s="4" t="s">
        <v>752</v>
      </c>
    </row>
    <row r="39" spans="1:103" x14ac:dyDescent="0.25">
      <c r="A39" t="s">
        <v>442</v>
      </c>
      <c r="B39" t="s">
        <v>125</v>
      </c>
      <c r="C39" s="1">
        <v>45890</v>
      </c>
      <c r="D39" t="s">
        <v>754</v>
      </c>
      <c r="E39" s="7" t="s">
        <v>753</v>
      </c>
      <c r="F39">
        <v>5</v>
      </c>
      <c r="G39">
        <v>5</v>
      </c>
      <c r="H39" t="s">
        <v>127</v>
      </c>
      <c r="I39" t="s">
        <v>127</v>
      </c>
      <c r="J39" t="s">
        <v>127</v>
      </c>
      <c r="K39" s="1">
        <v>34822</v>
      </c>
      <c r="L39" s="15">
        <f t="shared" si="0"/>
        <v>30</v>
      </c>
      <c r="M39" t="s">
        <v>59</v>
      </c>
      <c r="N39" t="s">
        <v>89</v>
      </c>
      <c r="O39" t="s">
        <v>337</v>
      </c>
      <c r="P39" t="s">
        <v>61</v>
      </c>
      <c r="Q39" t="s">
        <v>506</v>
      </c>
      <c r="R39" t="s">
        <v>426</v>
      </c>
      <c r="S39" t="s">
        <v>63</v>
      </c>
      <c r="T39" t="s">
        <v>66</v>
      </c>
      <c r="U39" t="s">
        <v>63</v>
      </c>
      <c r="V39" t="s">
        <v>66</v>
      </c>
      <c r="W39" t="s">
        <v>66</v>
      </c>
      <c r="X39" t="s">
        <v>66</v>
      </c>
      <c r="Y39" t="s">
        <v>66</v>
      </c>
      <c r="Z39" t="s">
        <v>66</v>
      </c>
      <c r="AA39" t="s">
        <v>66</v>
      </c>
      <c r="AB39" t="s">
        <v>61</v>
      </c>
      <c r="AC39" t="s">
        <v>355</v>
      </c>
      <c r="AD39">
        <v>2</v>
      </c>
      <c r="AE39">
        <v>2</v>
      </c>
      <c r="AF39" t="s">
        <v>63</v>
      </c>
      <c r="AG39" t="s">
        <v>66</v>
      </c>
      <c r="AH39" t="s">
        <v>63</v>
      </c>
      <c r="AI39" t="s">
        <v>66</v>
      </c>
      <c r="AJ39" t="s">
        <v>63</v>
      </c>
      <c r="AK39" t="s">
        <v>153</v>
      </c>
      <c r="AL39" t="s">
        <v>61</v>
      </c>
      <c r="AM39" t="s">
        <v>66</v>
      </c>
      <c r="AN39">
        <v>0</v>
      </c>
      <c r="AO39" t="s">
        <v>63</v>
      </c>
      <c r="AP39" t="s">
        <v>756</v>
      </c>
      <c r="AQ39" t="s">
        <v>755</v>
      </c>
      <c r="AR39" t="s">
        <v>93</v>
      </c>
      <c r="AS39" t="s">
        <v>93</v>
      </c>
      <c r="AT39" t="s">
        <v>61</v>
      </c>
      <c r="AU39">
        <v>10</v>
      </c>
      <c r="AV39" t="s">
        <v>66</v>
      </c>
      <c r="AW39" t="s">
        <v>66</v>
      </c>
      <c r="AX39" t="s">
        <v>66</v>
      </c>
      <c r="AY39" t="s">
        <v>66</v>
      </c>
      <c r="AZ39" t="s">
        <v>66</v>
      </c>
      <c r="BA39" t="s">
        <v>66</v>
      </c>
      <c r="BB39" s="3" t="s">
        <v>757</v>
      </c>
      <c r="BC39" t="s">
        <v>107</v>
      </c>
      <c r="BD39" s="4" t="s">
        <v>310</v>
      </c>
      <c r="BE39" t="s">
        <v>758</v>
      </c>
      <c r="BF39" t="s">
        <v>599</v>
      </c>
      <c r="BG39" t="s">
        <v>96</v>
      </c>
      <c r="BH39" t="s">
        <v>63</v>
      </c>
      <c r="BI39" t="s">
        <v>374</v>
      </c>
      <c r="BJ39" s="3" t="s">
        <v>759</v>
      </c>
      <c r="BK39" t="s">
        <v>760</v>
      </c>
      <c r="BL39" s="4" t="s">
        <v>263</v>
      </c>
      <c r="BM39" s="4" t="s">
        <v>713</v>
      </c>
      <c r="BN39" s="4" t="s">
        <v>307</v>
      </c>
      <c r="BO39" s="4" t="s">
        <v>282</v>
      </c>
      <c r="BP39" s="4" t="s">
        <v>256</v>
      </c>
      <c r="BQ39" t="s">
        <v>78</v>
      </c>
      <c r="BR39" s="4" t="s">
        <v>761</v>
      </c>
      <c r="BS39" t="s">
        <v>161</v>
      </c>
      <c r="BT39" s="4" t="s">
        <v>310</v>
      </c>
      <c r="BU39" t="s">
        <v>758</v>
      </c>
      <c r="BV39" t="s">
        <v>599</v>
      </c>
      <c r="BW39" t="s">
        <v>163</v>
      </c>
      <c r="BX39" t="s">
        <v>63</v>
      </c>
      <c r="BY39" t="s">
        <v>167</v>
      </c>
      <c r="BZ39" s="4" t="s">
        <v>379</v>
      </c>
      <c r="CA39" s="4" t="s">
        <v>762</v>
      </c>
      <c r="CB39" s="4" t="s">
        <v>763</v>
      </c>
      <c r="CC39" s="4" t="s">
        <v>93</v>
      </c>
      <c r="CD39" s="4" t="s">
        <v>93</v>
      </c>
      <c r="CE39" s="4" t="s">
        <v>282</v>
      </c>
      <c r="CF39" s="4" t="s">
        <v>236</v>
      </c>
      <c r="CG39" t="s">
        <v>78</v>
      </c>
      <c r="CH39" s="4" t="s">
        <v>764</v>
      </c>
      <c r="CI39" s="4" t="s">
        <v>66</v>
      </c>
      <c r="CJ39" s="4" t="s">
        <v>66</v>
      </c>
      <c r="CK39" s="4" t="s">
        <v>66</v>
      </c>
      <c r="CL39" s="4" t="s">
        <v>66</v>
      </c>
      <c r="CM39" s="4" t="s">
        <v>66</v>
      </c>
      <c r="CN39" s="4" t="s">
        <v>66</v>
      </c>
      <c r="CO39" s="4" t="s">
        <v>66</v>
      </c>
      <c r="CP39" s="4" t="s">
        <v>66</v>
      </c>
      <c r="CQ39" s="4" t="s">
        <v>66</v>
      </c>
      <c r="CR39" s="4" t="s">
        <v>66</v>
      </c>
      <c r="CS39" s="4" t="s">
        <v>66</v>
      </c>
      <c r="CT39" s="4" t="s">
        <v>66</v>
      </c>
      <c r="CU39" s="4" t="s">
        <v>66</v>
      </c>
      <c r="CV39" t="s">
        <v>766</v>
      </c>
      <c r="CW39" s="4" t="s">
        <v>765</v>
      </c>
    </row>
    <row r="40" spans="1:103" x14ac:dyDescent="0.25">
      <c r="A40" t="s">
        <v>443</v>
      </c>
      <c r="B40" t="s">
        <v>125</v>
      </c>
      <c r="C40" s="1">
        <v>45890</v>
      </c>
      <c r="D40" t="s">
        <v>767</v>
      </c>
      <c r="E40" s="6">
        <v>42429929</v>
      </c>
      <c r="F40">
        <v>20</v>
      </c>
      <c r="G40">
        <v>20</v>
      </c>
      <c r="H40" t="s">
        <v>768</v>
      </c>
      <c r="I40" t="s">
        <v>127</v>
      </c>
      <c r="J40" t="s">
        <v>127</v>
      </c>
      <c r="K40" s="1">
        <v>30856</v>
      </c>
      <c r="L40" s="15">
        <f t="shared" si="0"/>
        <v>41</v>
      </c>
      <c r="M40" t="s">
        <v>59</v>
      </c>
      <c r="N40" t="s">
        <v>108</v>
      </c>
      <c r="O40" t="s">
        <v>60</v>
      </c>
      <c r="P40" t="s">
        <v>61</v>
      </c>
      <c r="Q40" t="s">
        <v>61</v>
      </c>
      <c r="R40" t="s">
        <v>129</v>
      </c>
      <c r="S40" t="s">
        <v>61</v>
      </c>
      <c r="T40" t="s">
        <v>770</v>
      </c>
      <c r="U40" t="s">
        <v>61</v>
      </c>
      <c r="V40" t="s">
        <v>1758</v>
      </c>
      <c r="W40" t="s">
        <v>1708</v>
      </c>
      <c r="X40" t="s">
        <v>66</v>
      </c>
      <c r="Y40" t="s">
        <v>66</v>
      </c>
      <c r="Z40" t="s">
        <v>66</v>
      </c>
      <c r="AA40" t="s">
        <v>66</v>
      </c>
      <c r="AB40" t="s">
        <v>63</v>
      </c>
      <c r="AC40" t="s">
        <v>66</v>
      </c>
      <c r="AD40">
        <v>5</v>
      </c>
      <c r="AE40">
        <v>4</v>
      </c>
      <c r="AF40" t="s">
        <v>61</v>
      </c>
      <c r="AG40" t="s">
        <v>417</v>
      </c>
      <c r="AH40" t="s">
        <v>63</v>
      </c>
      <c r="AI40" t="s">
        <v>66</v>
      </c>
      <c r="AJ40" t="s">
        <v>61</v>
      </c>
      <c r="AK40" t="s">
        <v>66</v>
      </c>
      <c r="AL40" t="s">
        <v>61</v>
      </c>
      <c r="AM40" t="s">
        <v>66</v>
      </c>
      <c r="AN40">
        <v>0</v>
      </c>
      <c r="AO40" t="s">
        <v>63</v>
      </c>
      <c r="AP40" t="s">
        <v>772</v>
      </c>
      <c r="AQ40" t="s">
        <v>771</v>
      </c>
      <c r="AR40" t="s">
        <v>63</v>
      </c>
      <c r="AS40" t="s">
        <v>63</v>
      </c>
      <c r="AT40" t="s">
        <v>61</v>
      </c>
      <c r="AU40">
        <v>15</v>
      </c>
      <c r="AV40" t="s">
        <v>66</v>
      </c>
      <c r="AW40" t="s">
        <v>66</v>
      </c>
      <c r="AX40" t="s">
        <v>66</v>
      </c>
      <c r="AY40" t="s">
        <v>66</v>
      </c>
      <c r="AZ40" t="s">
        <v>66</v>
      </c>
      <c r="BA40" t="s">
        <v>66</v>
      </c>
      <c r="BB40" s="3" t="s">
        <v>502</v>
      </c>
      <c r="BC40" t="s">
        <v>161</v>
      </c>
      <c r="BD40">
        <v>7</v>
      </c>
      <c r="BE40" t="s">
        <v>136</v>
      </c>
      <c r="BF40" t="s">
        <v>104</v>
      </c>
      <c r="BG40" t="s">
        <v>163</v>
      </c>
      <c r="BH40" t="s">
        <v>63</v>
      </c>
      <c r="BI40" t="s">
        <v>167</v>
      </c>
      <c r="BJ40" s="3" t="s">
        <v>168</v>
      </c>
      <c r="BK40" t="s">
        <v>164</v>
      </c>
      <c r="BL40" s="4" t="s">
        <v>144</v>
      </c>
      <c r="BM40" s="4" t="s">
        <v>93</v>
      </c>
      <c r="BN40" s="4" t="s">
        <v>93</v>
      </c>
      <c r="BO40" s="4" t="s">
        <v>664</v>
      </c>
      <c r="BP40" s="4" t="s">
        <v>236</v>
      </c>
      <c r="BQ40" t="s">
        <v>78</v>
      </c>
      <c r="BR40" s="4" t="s">
        <v>396</v>
      </c>
      <c r="BS40" s="4" t="s">
        <v>219</v>
      </c>
      <c r="BT40">
        <v>7</v>
      </c>
      <c r="BU40" t="s">
        <v>136</v>
      </c>
      <c r="BV40" t="s">
        <v>104</v>
      </c>
      <c r="BW40" t="s">
        <v>79</v>
      </c>
      <c r="BX40" t="s">
        <v>366</v>
      </c>
      <c r="BY40" t="s">
        <v>98</v>
      </c>
      <c r="BZ40" s="4" t="s">
        <v>170</v>
      </c>
      <c r="CA40" t="s">
        <v>773</v>
      </c>
      <c r="CB40" s="4" t="s">
        <v>83</v>
      </c>
      <c r="CC40" s="3" t="s">
        <v>225</v>
      </c>
      <c r="CD40" s="3" t="s">
        <v>428</v>
      </c>
      <c r="CE40" s="4" t="s">
        <v>502</v>
      </c>
      <c r="CF40" s="4" t="s">
        <v>774</v>
      </c>
      <c r="CG40" t="s">
        <v>78</v>
      </c>
      <c r="CH40" s="3" t="s">
        <v>775</v>
      </c>
      <c r="CI40" s="4" t="s">
        <v>66</v>
      </c>
      <c r="CJ40" s="4" t="s">
        <v>66</v>
      </c>
      <c r="CK40" s="4" t="s">
        <v>66</v>
      </c>
      <c r="CL40" s="4" t="s">
        <v>66</v>
      </c>
      <c r="CM40" s="4" t="s">
        <v>66</v>
      </c>
      <c r="CN40" s="4" t="s">
        <v>66</v>
      </c>
      <c r="CO40" s="4" t="s">
        <v>66</v>
      </c>
      <c r="CP40" s="4" t="s">
        <v>66</v>
      </c>
      <c r="CQ40" s="4" t="s">
        <v>66</v>
      </c>
      <c r="CR40" s="4" t="s">
        <v>66</v>
      </c>
      <c r="CS40" s="4" t="s">
        <v>66</v>
      </c>
      <c r="CT40" s="4" t="s">
        <v>66</v>
      </c>
      <c r="CU40" s="4" t="s">
        <v>66</v>
      </c>
      <c r="CV40" t="s">
        <v>776</v>
      </c>
      <c r="CW40" s="4" t="s">
        <v>777</v>
      </c>
    </row>
    <row r="41" spans="1:103" x14ac:dyDescent="0.25">
      <c r="A41" t="s">
        <v>444</v>
      </c>
      <c r="B41" t="s">
        <v>125</v>
      </c>
      <c r="C41" s="1">
        <v>45890</v>
      </c>
      <c r="D41" t="s">
        <v>778</v>
      </c>
      <c r="E41" s="6">
        <v>77416358</v>
      </c>
      <c r="F41">
        <v>4</v>
      </c>
      <c r="G41">
        <v>4</v>
      </c>
      <c r="H41" t="s">
        <v>127</v>
      </c>
      <c r="I41" t="s">
        <v>127</v>
      </c>
      <c r="J41" t="s">
        <v>779</v>
      </c>
      <c r="K41" s="1">
        <v>35109</v>
      </c>
      <c r="L41" s="15">
        <f t="shared" si="0"/>
        <v>29</v>
      </c>
      <c r="M41" t="s">
        <v>59</v>
      </c>
      <c r="N41" t="s">
        <v>89</v>
      </c>
      <c r="O41" t="s">
        <v>60</v>
      </c>
      <c r="P41" t="s">
        <v>61</v>
      </c>
      <c r="Q41" t="s">
        <v>61</v>
      </c>
      <c r="R41" t="s">
        <v>426</v>
      </c>
      <c r="S41" t="s">
        <v>63</v>
      </c>
      <c r="T41" t="s">
        <v>66</v>
      </c>
      <c r="U41" t="s">
        <v>63</v>
      </c>
      <c r="V41" t="s">
        <v>66</v>
      </c>
      <c r="W41" t="s">
        <v>66</v>
      </c>
      <c r="X41" t="s">
        <v>66</v>
      </c>
      <c r="Y41" t="s">
        <v>66</v>
      </c>
      <c r="Z41" t="s">
        <v>66</v>
      </c>
      <c r="AA41" t="s">
        <v>66</v>
      </c>
      <c r="AB41" t="s">
        <v>63</v>
      </c>
      <c r="AC41" t="s">
        <v>66</v>
      </c>
      <c r="AD41">
        <v>2</v>
      </c>
      <c r="AE41">
        <v>0</v>
      </c>
      <c r="AF41" t="s">
        <v>63</v>
      </c>
      <c r="AG41" t="s">
        <v>66</v>
      </c>
      <c r="AH41" t="s">
        <v>63</v>
      </c>
      <c r="AI41" t="s">
        <v>66</v>
      </c>
      <c r="AJ41" t="s">
        <v>63</v>
      </c>
      <c r="AK41" t="s">
        <v>780</v>
      </c>
      <c r="AL41" t="s">
        <v>63</v>
      </c>
      <c r="AM41" t="s">
        <v>576</v>
      </c>
      <c r="AN41">
        <v>0</v>
      </c>
      <c r="AO41" t="s">
        <v>63</v>
      </c>
      <c r="AP41" t="s">
        <v>782</v>
      </c>
      <c r="AQ41" t="s">
        <v>781</v>
      </c>
      <c r="AR41" t="s">
        <v>61</v>
      </c>
      <c r="AS41" t="s">
        <v>63</v>
      </c>
      <c r="AT41" t="s">
        <v>61</v>
      </c>
      <c r="AU41">
        <v>12</v>
      </c>
      <c r="AV41" t="s">
        <v>66</v>
      </c>
      <c r="AW41" t="s">
        <v>66</v>
      </c>
      <c r="AX41" t="s">
        <v>66</v>
      </c>
      <c r="AY41" t="s">
        <v>66</v>
      </c>
      <c r="AZ41" t="s">
        <v>66</v>
      </c>
      <c r="BA41" t="s">
        <v>66</v>
      </c>
      <c r="BB41" s="3" t="s">
        <v>783</v>
      </c>
      <c r="BC41" t="s">
        <v>219</v>
      </c>
      <c r="BD41" s="4" t="s">
        <v>77</v>
      </c>
      <c r="BE41" t="s">
        <v>484</v>
      </c>
      <c r="BF41" t="s">
        <v>104</v>
      </c>
      <c r="BG41" t="s">
        <v>393</v>
      </c>
      <c r="BH41" t="s">
        <v>450</v>
      </c>
      <c r="BI41" t="s">
        <v>167</v>
      </c>
      <c r="BJ41">
        <v>12</v>
      </c>
      <c r="BK41" t="s">
        <v>784</v>
      </c>
      <c r="BL41" s="4" t="s">
        <v>292</v>
      </c>
      <c r="BM41" s="4" t="s">
        <v>315</v>
      </c>
      <c r="BN41" s="4" t="s">
        <v>234</v>
      </c>
      <c r="BO41" s="4" t="s">
        <v>785</v>
      </c>
      <c r="BP41" s="4" t="s">
        <v>634</v>
      </c>
      <c r="BQ41" t="s">
        <v>78</v>
      </c>
      <c r="BR41" s="4" t="s">
        <v>722</v>
      </c>
      <c r="BS41" s="4" t="s">
        <v>66</v>
      </c>
      <c r="BT41" s="4" t="s">
        <v>66</v>
      </c>
      <c r="BU41" s="4" t="s">
        <v>66</v>
      </c>
      <c r="BV41" s="4" t="s">
        <v>66</v>
      </c>
      <c r="BW41" s="4" t="s">
        <v>66</v>
      </c>
      <c r="BX41" s="4" t="s">
        <v>66</v>
      </c>
      <c r="BY41" s="4" t="s">
        <v>66</v>
      </c>
      <c r="BZ41" s="4" t="s">
        <v>66</v>
      </c>
      <c r="CA41" s="4" t="s">
        <v>66</v>
      </c>
      <c r="CB41" s="4" t="s">
        <v>66</v>
      </c>
      <c r="CC41" s="4" t="s">
        <v>66</v>
      </c>
      <c r="CD41" s="4" t="s">
        <v>66</v>
      </c>
      <c r="CE41" s="4" t="s">
        <v>66</v>
      </c>
      <c r="CF41" s="4" t="s">
        <v>66</v>
      </c>
      <c r="CG41" s="4" t="s">
        <v>66</v>
      </c>
      <c r="CH41" s="4" t="s">
        <v>66</v>
      </c>
      <c r="CI41" s="4" t="s">
        <v>66</v>
      </c>
      <c r="CJ41" s="4" t="s">
        <v>66</v>
      </c>
      <c r="CK41" s="4" t="s">
        <v>66</v>
      </c>
      <c r="CL41" s="4" t="s">
        <v>66</v>
      </c>
      <c r="CM41" s="4" t="s">
        <v>66</v>
      </c>
      <c r="CN41" s="4" t="s">
        <v>66</v>
      </c>
      <c r="CO41" s="4" t="s">
        <v>66</v>
      </c>
      <c r="CP41" s="4" t="s">
        <v>66</v>
      </c>
      <c r="CQ41" s="4" t="s">
        <v>66</v>
      </c>
      <c r="CR41" s="4" t="s">
        <v>66</v>
      </c>
      <c r="CS41" s="4" t="s">
        <v>66</v>
      </c>
      <c r="CT41" s="4" t="s">
        <v>66</v>
      </c>
      <c r="CU41" s="4" t="s">
        <v>66</v>
      </c>
      <c r="CV41" t="s">
        <v>786</v>
      </c>
      <c r="CW41" s="4" t="s">
        <v>787</v>
      </c>
    </row>
    <row r="42" spans="1:103" x14ac:dyDescent="0.25">
      <c r="A42" t="s">
        <v>445</v>
      </c>
      <c r="B42" t="s">
        <v>125</v>
      </c>
      <c r="C42" s="1">
        <v>45891</v>
      </c>
      <c r="D42" t="s">
        <v>788</v>
      </c>
      <c r="E42" s="6">
        <v>48022147</v>
      </c>
      <c r="F42">
        <v>18</v>
      </c>
      <c r="G42">
        <v>16</v>
      </c>
      <c r="H42" t="s">
        <v>127</v>
      </c>
      <c r="I42" t="s">
        <v>127</v>
      </c>
      <c r="J42" t="s">
        <v>127</v>
      </c>
      <c r="K42" s="1">
        <v>33898</v>
      </c>
      <c r="L42" s="15">
        <f t="shared" si="0"/>
        <v>32</v>
      </c>
      <c r="M42" t="s">
        <v>59</v>
      </c>
      <c r="N42" t="s">
        <v>89</v>
      </c>
      <c r="O42" t="s">
        <v>60</v>
      </c>
      <c r="P42" t="s">
        <v>61</v>
      </c>
      <c r="Q42" t="s">
        <v>61</v>
      </c>
      <c r="R42" t="s">
        <v>129</v>
      </c>
      <c r="S42" t="s">
        <v>61</v>
      </c>
      <c r="T42" t="s">
        <v>130</v>
      </c>
      <c r="U42" t="s">
        <v>61</v>
      </c>
      <c r="V42" t="s">
        <v>1758</v>
      </c>
      <c r="W42" t="s">
        <v>1713</v>
      </c>
      <c r="X42" t="s">
        <v>66</v>
      </c>
      <c r="Y42" t="s">
        <v>66</v>
      </c>
      <c r="Z42" t="s">
        <v>66</v>
      </c>
      <c r="AA42" t="s">
        <v>66</v>
      </c>
      <c r="AB42" t="s">
        <v>63</v>
      </c>
      <c r="AC42" t="s">
        <v>66</v>
      </c>
      <c r="AD42">
        <v>2</v>
      </c>
      <c r="AE42">
        <v>2</v>
      </c>
      <c r="AF42" t="s">
        <v>63</v>
      </c>
      <c r="AG42" t="s">
        <v>66</v>
      </c>
      <c r="AH42" t="s">
        <v>63</v>
      </c>
      <c r="AI42" t="s">
        <v>66</v>
      </c>
      <c r="AJ42" t="s">
        <v>63</v>
      </c>
      <c r="AK42" t="s">
        <v>780</v>
      </c>
      <c r="AL42" t="s">
        <v>63</v>
      </c>
      <c r="AM42" t="s">
        <v>789</v>
      </c>
      <c r="AN42">
        <v>0</v>
      </c>
      <c r="AO42" t="s">
        <v>63</v>
      </c>
      <c r="AP42" t="s">
        <v>791</v>
      </c>
      <c r="AQ42" t="s">
        <v>790</v>
      </c>
      <c r="AR42" t="s">
        <v>63</v>
      </c>
      <c r="AS42" t="s">
        <v>63</v>
      </c>
      <c r="AT42" t="s">
        <v>61</v>
      </c>
      <c r="AU42">
        <v>6</v>
      </c>
      <c r="AV42" t="s">
        <v>66</v>
      </c>
      <c r="AW42" t="s">
        <v>66</v>
      </c>
      <c r="AX42" t="s">
        <v>66</v>
      </c>
      <c r="AY42" t="s">
        <v>66</v>
      </c>
      <c r="AZ42" t="s">
        <v>66</v>
      </c>
      <c r="BA42" t="s">
        <v>66</v>
      </c>
      <c r="BB42" s="3" t="s">
        <v>792</v>
      </c>
      <c r="BC42" t="s">
        <v>219</v>
      </c>
      <c r="BD42" s="4" t="s">
        <v>310</v>
      </c>
      <c r="BE42" t="s">
        <v>794</v>
      </c>
      <c r="BF42" t="s">
        <v>104</v>
      </c>
      <c r="BG42" t="s">
        <v>79</v>
      </c>
      <c r="BH42" t="s">
        <v>61</v>
      </c>
      <c r="BI42" t="s">
        <v>499</v>
      </c>
      <c r="BJ42" s="4" t="s">
        <v>479</v>
      </c>
      <c r="BK42" t="s">
        <v>795</v>
      </c>
      <c r="BL42" s="4" t="s">
        <v>796</v>
      </c>
      <c r="BM42" s="4" t="s">
        <v>142</v>
      </c>
      <c r="BN42" s="4" t="s">
        <v>344</v>
      </c>
      <c r="BO42" s="4" t="s">
        <v>797</v>
      </c>
      <c r="BP42" s="4" t="s">
        <v>798</v>
      </c>
      <c r="BQ42" t="s">
        <v>78</v>
      </c>
      <c r="BR42" s="4" t="s">
        <v>799</v>
      </c>
      <c r="BS42" t="s">
        <v>107</v>
      </c>
      <c r="BT42" s="4" t="s">
        <v>310</v>
      </c>
      <c r="BU42" t="s">
        <v>794</v>
      </c>
      <c r="BV42" t="s">
        <v>104</v>
      </c>
      <c r="BW42" t="s">
        <v>96</v>
      </c>
      <c r="BX42" t="s">
        <v>63</v>
      </c>
      <c r="BY42" t="s">
        <v>499</v>
      </c>
      <c r="BZ42" s="4" t="s">
        <v>800</v>
      </c>
      <c r="CA42" t="s">
        <v>801</v>
      </c>
      <c r="CB42" s="3" t="s">
        <v>614</v>
      </c>
      <c r="CC42" s="3" t="s">
        <v>713</v>
      </c>
      <c r="CD42" s="3" t="s">
        <v>84</v>
      </c>
      <c r="CE42" s="4" t="s">
        <v>275</v>
      </c>
      <c r="CF42" s="4" t="s">
        <v>802</v>
      </c>
      <c r="CG42" t="s">
        <v>78</v>
      </c>
      <c r="CH42">
        <v>5</v>
      </c>
      <c r="CI42" t="s">
        <v>161</v>
      </c>
      <c r="CJ42" s="4" t="s">
        <v>163</v>
      </c>
      <c r="CK42" t="s">
        <v>63</v>
      </c>
      <c r="CL42" t="s">
        <v>167</v>
      </c>
      <c r="CM42">
        <v>36</v>
      </c>
      <c r="CN42" s="4" t="s">
        <v>728</v>
      </c>
      <c r="CO42" s="4" t="s">
        <v>261</v>
      </c>
      <c r="CP42" s="4" t="s">
        <v>93</v>
      </c>
      <c r="CQ42" s="4" t="s">
        <v>93</v>
      </c>
      <c r="CR42" s="4" t="s">
        <v>803</v>
      </c>
      <c r="CS42" s="4" t="s">
        <v>395</v>
      </c>
      <c r="CT42" t="s">
        <v>78</v>
      </c>
      <c r="CU42" s="4" t="s">
        <v>391</v>
      </c>
      <c r="CV42" t="s">
        <v>804</v>
      </c>
      <c r="CW42" s="4" t="s">
        <v>805</v>
      </c>
    </row>
    <row r="43" spans="1:103" x14ac:dyDescent="0.25">
      <c r="A43" t="s">
        <v>123</v>
      </c>
      <c r="B43" t="s">
        <v>769</v>
      </c>
      <c r="C43" s="1">
        <v>45884</v>
      </c>
      <c r="D43" t="s">
        <v>807</v>
      </c>
      <c r="E43" s="10" t="s">
        <v>806</v>
      </c>
      <c r="F43">
        <v>62</v>
      </c>
      <c r="G43">
        <v>40</v>
      </c>
      <c r="H43" t="s">
        <v>127</v>
      </c>
      <c r="I43" t="s">
        <v>127</v>
      </c>
      <c r="J43" t="s">
        <v>127</v>
      </c>
      <c r="K43" s="1">
        <v>18946</v>
      </c>
      <c r="L43" s="15">
        <f t="shared" si="0"/>
        <v>73</v>
      </c>
      <c r="M43" t="s">
        <v>59</v>
      </c>
      <c r="N43" t="s">
        <v>108</v>
      </c>
      <c r="O43" t="s">
        <v>322</v>
      </c>
      <c r="P43" t="s">
        <v>61</v>
      </c>
      <c r="Q43" t="s">
        <v>212</v>
      </c>
      <c r="R43" t="s">
        <v>129</v>
      </c>
      <c r="S43" t="s">
        <v>61</v>
      </c>
      <c r="T43" t="s">
        <v>130</v>
      </c>
      <c r="U43" t="s">
        <v>61</v>
      </c>
      <c r="V43" t="s">
        <v>1758</v>
      </c>
      <c r="W43" t="s">
        <v>1710</v>
      </c>
      <c r="X43" t="s">
        <v>66</v>
      </c>
      <c r="Y43" t="s">
        <v>66</v>
      </c>
      <c r="Z43" t="s">
        <v>66</v>
      </c>
      <c r="AA43" t="s">
        <v>66</v>
      </c>
      <c r="AB43" t="s">
        <v>63</v>
      </c>
      <c r="AC43" t="s">
        <v>66</v>
      </c>
      <c r="AD43">
        <v>0</v>
      </c>
      <c r="AE43">
        <v>6</v>
      </c>
      <c r="AF43" t="s">
        <v>61</v>
      </c>
      <c r="AG43" t="s">
        <v>808</v>
      </c>
      <c r="AH43" t="s">
        <v>63</v>
      </c>
      <c r="AI43" t="s">
        <v>66</v>
      </c>
      <c r="AJ43" t="s">
        <v>61</v>
      </c>
      <c r="AK43" t="s">
        <v>66</v>
      </c>
      <c r="AL43" t="s">
        <v>61</v>
      </c>
      <c r="AM43" t="s">
        <v>66</v>
      </c>
      <c r="AN43">
        <v>0</v>
      </c>
      <c r="AO43" t="s">
        <v>63</v>
      </c>
      <c r="AP43" t="s">
        <v>809</v>
      </c>
      <c r="AQ43" t="s">
        <v>93</v>
      </c>
      <c r="AR43" t="s">
        <v>61</v>
      </c>
      <c r="AS43" t="s">
        <v>61</v>
      </c>
      <c r="AT43" t="s">
        <v>61</v>
      </c>
      <c r="AU43">
        <v>8</v>
      </c>
      <c r="AV43" t="s">
        <v>66</v>
      </c>
      <c r="AW43" t="s">
        <v>66</v>
      </c>
      <c r="AX43" t="s">
        <v>66</v>
      </c>
      <c r="AY43" t="s">
        <v>66</v>
      </c>
      <c r="AZ43" t="s">
        <v>66</v>
      </c>
      <c r="BA43" t="s">
        <v>66</v>
      </c>
      <c r="BB43" s="3" t="s">
        <v>612</v>
      </c>
      <c r="BC43" t="s">
        <v>219</v>
      </c>
      <c r="BD43" s="4" t="s">
        <v>274</v>
      </c>
      <c r="BE43" t="s">
        <v>810</v>
      </c>
      <c r="BF43" t="s">
        <v>104</v>
      </c>
      <c r="BG43" t="s">
        <v>79</v>
      </c>
      <c r="BH43" t="s">
        <v>811</v>
      </c>
      <c r="BI43" t="s">
        <v>374</v>
      </c>
      <c r="BJ43" s="4" t="s">
        <v>80</v>
      </c>
      <c r="BK43" t="s">
        <v>812</v>
      </c>
      <c r="BL43" s="4" t="s">
        <v>85</v>
      </c>
      <c r="BM43" s="4" t="s">
        <v>258</v>
      </c>
      <c r="BN43" s="4" t="s">
        <v>376</v>
      </c>
      <c r="BO43">
        <v>1000</v>
      </c>
      <c r="BP43" s="4" t="s">
        <v>802</v>
      </c>
      <c r="BQ43" s="4" t="s">
        <v>813</v>
      </c>
      <c r="BR43" s="4" t="s">
        <v>815</v>
      </c>
      <c r="BS43" t="s">
        <v>107</v>
      </c>
      <c r="BT43" s="4" t="s">
        <v>274</v>
      </c>
      <c r="BU43" t="s">
        <v>810</v>
      </c>
      <c r="BV43" t="s">
        <v>104</v>
      </c>
      <c r="BW43" t="s">
        <v>827</v>
      </c>
      <c r="BX43" t="s">
        <v>63</v>
      </c>
      <c r="BY43" s="5" t="s">
        <v>374</v>
      </c>
      <c r="BZ43" s="4" t="s">
        <v>80</v>
      </c>
      <c r="CA43" t="s">
        <v>814</v>
      </c>
      <c r="CB43" s="3" t="s">
        <v>234</v>
      </c>
      <c r="CC43" s="3" t="s">
        <v>84</v>
      </c>
      <c r="CD43" s="3" t="s">
        <v>234</v>
      </c>
      <c r="CE43" s="4" t="s">
        <v>94</v>
      </c>
      <c r="CF43" s="4" t="s">
        <v>802</v>
      </c>
      <c r="CG43" s="4" t="s">
        <v>813</v>
      </c>
      <c r="CH43" s="3" t="s">
        <v>815</v>
      </c>
      <c r="CI43" s="4" t="s">
        <v>66</v>
      </c>
      <c r="CJ43" s="4" t="s">
        <v>66</v>
      </c>
      <c r="CK43" s="4" t="s">
        <v>66</v>
      </c>
      <c r="CL43" s="4" t="s">
        <v>66</v>
      </c>
      <c r="CM43" s="4" t="s">
        <v>66</v>
      </c>
      <c r="CN43" s="4" t="s">
        <v>66</v>
      </c>
      <c r="CO43" s="4" t="s">
        <v>66</v>
      </c>
      <c r="CP43" s="4" t="s">
        <v>66</v>
      </c>
      <c r="CQ43" s="4" t="s">
        <v>66</v>
      </c>
      <c r="CR43" s="4" t="s">
        <v>66</v>
      </c>
      <c r="CS43" s="4" t="s">
        <v>66</v>
      </c>
      <c r="CT43" s="4" t="s">
        <v>66</v>
      </c>
      <c r="CU43" s="4" t="s">
        <v>66</v>
      </c>
      <c r="CV43" s="4" t="s">
        <v>816</v>
      </c>
      <c r="CW43" s="4" t="s">
        <v>469</v>
      </c>
    </row>
    <row r="44" spans="1:103" x14ac:dyDescent="0.25">
      <c r="BD44" s="4"/>
      <c r="BJ44" s="4"/>
      <c r="BL44" s="4"/>
      <c r="BM44" s="4"/>
      <c r="BR44" s="4"/>
      <c r="BT44" s="4"/>
      <c r="BZ44" s="4"/>
      <c r="CB44" s="3"/>
      <c r="CD44" s="3"/>
      <c r="CH44" s="3"/>
      <c r="CO44" s="4"/>
      <c r="CP44" s="4"/>
      <c r="CQ44" s="4"/>
      <c r="CR44" s="4"/>
      <c r="CS44" s="4"/>
      <c r="CT44" s="4"/>
      <c r="CU44" s="4"/>
    </row>
    <row r="45" spans="1:103" x14ac:dyDescent="0.25">
      <c r="BD45" s="4"/>
      <c r="BJ45" s="4"/>
      <c r="BL45" s="4"/>
      <c r="BM45" s="4"/>
      <c r="BT45" s="4"/>
      <c r="CB45" s="3"/>
      <c r="CD45" s="3"/>
      <c r="CH45" s="3"/>
      <c r="CO45" s="4"/>
      <c r="CP45" s="4"/>
      <c r="CQ45" s="4"/>
      <c r="CR45" s="4"/>
      <c r="CS45" s="4"/>
      <c r="CT45" s="4"/>
      <c r="CU45" s="4"/>
    </row>
    <row r="46" spans="1:103" x14ac:dyDescent="0.25">
      <c r="BD46" s="4"/>
      <c r="BJ46" s="4"/>
      <c r="BL46" s="4"/>
      <c r="BM46" s="4"/>
      <c r="BT46" s="4"/>
      <c r="CB46" s="3"/>
      <c r="CD46" s="3"/>
      <c r="CH46" s="3"/>
      <c r="CO46" s="4"/>
      <c r="CP46" s="4"/>
      <c r="CQ46" s="4"/>
      <c r="CR46" s="4"/>
      <c r="CS46" s="4"/>
      <c r="CT46" s="4"/>
      <c r="CU46" s="4"/>
    </row>
    <row r="47" spans="1:103" x14ac:dyDescent="0.25">
      <c r="BJ47" s="4"/>
      <c r="BT47" s="4"/>
      <c r="CB47" s="3"/>
      <c r="CD47" s="3"/>
      <c r="CH47" s="3"/>
      <c r="CO47" s="4"/>
      <c r="CP47" s="4"/>
      <c r="CQ47" s="4"/>
      <c r="CR47" s="4"/>
      <c r="CS47" s="4"/>
      <c r="CT47" s="4"/>
      <c r="CU47" s="4"/>
    </row>
    <row r="48" spans="1:103" x14ac:dyDescent="0.25">
      <c r="BJ48" s="4"/>
      <c r="CB48" s="3"/>
      <c r="CD48" s="3"/>
      <c r="CH48" s="3"/>
      <c r="CO48" s="4"/>
      <c r="CP48" s="4"/>
      <c r="CQ48" s="4"/>
      <c r="CR48" s="4"/>
      <c r="CS48" s="4"/>
      <c r="CT48" s="4"/>
      <c r="CU48" s="4"/>
    </row>
    <row r="49" spans="80:99" x14ac:dyDescent="0.25">
      <c r="CB49" s="3"/>
      <c r="CD49" s="3"/>
      <c r="CH49" s="3"/>
      <c r="CO49" s="4"/>
      <c r="CP49" s="4"/>
      <c r="CQ49" s="4"/>
      <c r="CR49" s="4"/>
      <c r="CS49" s="4"/>
      <c r="CT49" s="4"/>
      <c r="CU49" s="4"/>
    </row>
    <row r="50" spans="80:99" x14ac:dyDescent="0.25">
      <c r="CD50" s="3"/>
      <c r="CO50" s="4"/>
      <c r="CP50" s="4"/>
      <c r="CQ50" s="4"/>
      <c r="CR50" s="4"/>
      <c r="CS50" s="4"/>
      <c r="CT50" s="4"/>
      <c r="CU50" s="4"/>
    </row>
    <row r="51" spans="80:99" x14ac:dyDescent="0.25">
      <c r="CD51" s="3"/>
      <c r="CO51" s="4"/>
      <c r="CP51" s="4"/>
      <c r="CQ51" s="4"/>
      <c r="CR51" s="4"/>
      <c r="CS51" s="4"/>
      <c r="CT51" s="4"/>
      <c r="CU51" s="4"/>
    </row>
    <row r="52" spans="80:99" x14ac:dyDescent="0.25">
      <c r="CD52" s="3"/>
    </row>
  </sheetData>
  <autoFilter ref="CJ1:CJ52" xr:uid="{33B153E6-F6AD-4994-82F6-77EC334161D2}"/>
  <phoneticPr fontId="1" type="noConversion"/>
  <pageMargins left="0.7" right="0.7" top="0.75" bottom="0.75" header="0.3" footer="0.3"/>
  <pageSetup paperSize="9" orientation="portrait" r:id="rId1"/>
  <ignoredErrors>
    <ignoredError sqref="BN2"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E6A96-FD7F-4FEB-B59B-4245D8E15F81}">
  <dimension ref="A1:CV34"/>
  <sheetViews>
    <sheetView tabSelected="1" topLeftCell="BV1" zoomScale="90" zoomScaleNormal="90" workbookViewId="0">
      <selection activeCell="BW9" sqref="BW9"/>
    </sheetView>
  </sheetViews>
  <sheetFormatPr defaultRowHeight="15" x14ac:dyDescent="0.25"/>
  <cols>
    <col min="1" max="1" width="16.7109375" customWidth="1"/>
    <col min="3" max="3" width="15.28515625" bestFit="1" customWidth="1"/>
    <col min="5" max="5" width="10" bestFit="1" customWidth="1"/>
    <col min="8" max="8" width="11.28515625" customWidth="1"/>
    <col min="9" max="9" width="22.5703125" customWidth="1"/>
    <col min="10" max="10" width="14.42578125" customWidth="1"/>
    <col min="11" max="11" width="17.7109375" bestFit="1" customWidth="1"/>
    <col min="12" max="12" width="13.28515625" customWidth="1"/>
    <col min="18" max="18" width="17.42578125" customWidth="1"/>
    <col min="20" max="20" width="17.140625" customWidth="1"/>
    <col min="21" max="21" width="10.5703125" bestFit="1" customWidth="1"/>
    <col min="22" max="22" width="13.140625" bestFit="1" customWidth="1"/>
    <col min="23" max="23" width="12.7109375" bestFit="1" customWidth="1"/>
    <col min="24" max="24" width="13.140625" bestFit="1" customWidth="1"/>
    <col min="25" max="25" width="12.7109375" bestFit="1" customWidth="1"/>
    <col min="26" max="27" width="12.7109375" customWidth="1"/>
    <col min="43" max="43" width="12.42578125" customWidth="1"/>
    <col min="50" max="50" width="12.140625" customWidth="1"/>
    <col min="52" max="52" width="12.28515625" customWidth="1"/>
    <col min="58" max="58" width="20.85546875" customWidth="1"/>
    <col min="59" max="59" width="11.28515625" customWidth="1"/>
    <col min="67" max="67" width="11.140625" customWidth="1"/>
    <col min="70" max="70" width="10.5703125" customWidth="1"/>
    <col min="74" max="74" width="20.7109375" bestFit="1" customWidth="1"/>
    <col min="75" max="75" width="10.7109375" customWidth="1"/>
    <col min="78" max="78" width="13.85546875" customWidth="1"/>
    <col min="86" max="86" width="11" customWidth="1"/>
    <col min="87" max="87" width="10.7109375" customWidth="1"/>
    <col min="88" max="88" width="12.140625" customWidth="1"/>
    <col min="96" max="96" width="14.28515625" customWidth="1"/>
    <col min="99" max="99" width="12.140625" customWidth="1"/>
  </cols>
  <sheetData>
    <row r="1" spans="1:100" x14ac:dyDescent="0.25">
      <c r="A1" t="s">
        <v>0</v>
      </c>
      <c r="B1" t="s">
        <v>1</v>
      </c>
      <c r="C1" t="s">
        <v>2</v>
      </c>
      <c r="D1" t="s">
        <v>3</v>
      </c>
      <c r="E1" t="s">
        <v>4</v>
      </c>
      <c r="F1" t="s">
        <v>12</v>
      </c>
      <c r="G1" t="s">
        <v>5</v>
      </c>
      <c r="H1" t="s">
        <v>58</v>
      </c>
      <c r="I1" t="s">
        <v>6</v>
      </c>
      <c r="J1" t="s">
        <v>122</v>
      </c>
      <c r="K1" t="s">
        <v>7</v>
      </c>
      <c r="L1" t="s">
        <v>847</v>
      </c>
      <c r="M1" t="s">
        <v>8</v>
      </c>
      <c r="N1" t="s">
        <v>9</v>
      </c>
      <c r="O1" t="s">
        <v>10</v>
      </c>
      <c r="P1" t="s">
        <v>11</v>
      </c>
      <c r="Q1" t="s">
        <v>121</v>
      </c>
      <c r="R1" t="s">
        <v>106</v>
      </c>
      <c r="S1" t="s">
        <v>13</v>
      </c>
      <c r="T1" t="s">
        <v>14</v>
      </c>
      <c r="U1" t="s">
        <v>1757</v>
      </c>
      <c r="V1" t="s">
        <v>1705</v>
      </c>
      <c r="W1" t="s">
        <v>1704</v>
      </c>
      <c r="X1" t="s">
        <v>1706</v>
      </c>
      <c r="Y1" t="s">
        <v>1707</v>
      </c>
      <c r="Z1" t="s">
        <v>1725</v>
      </c>
      <c r="AA1" t="s">
        <v>1726</v>
      </c>
      <c r="AB1" t="s">
        <v>15</v>
      </c>
      <c r="AC1" t="s">
        <v>16</v>
      </c>
      <c r="AD1" t="s">
        <v>17</v>
      </c>
      <c r="AE1" t="s">
        <v>18</v>
      </c>
      <c r="AF1" t="s">
        <v>91</v>
      </c>
      <c r="AG1" t="s">
        <v>19</v>
      </c>
      <c r="AH1" t="s">
        <v>92</v>
      </c>
      <c r="AI1" t="s">
        <v>20</v>
      </c>
      <c r="AJ1" t="s">
        <v>21</v>
      </c>
      <c r="AK1" t="s">
        <v>64</v>
      </c>
      <c r="AL1" t="s">
        <v>22</v>
      </c>
      <c r="AM1" t="s">
        <v>65</v>
      </c>
      <c r="AN1" t="s">
        <v>67</v>
      </c>
      <c r="AO1" t="s">
        <v>23</v>
      </c>
      <c r="AP1" t="s">
        <v>114</v>
      </c>
      <c r="AQ1" t="s">
        <v>112</v>
      </c>
      <c r="AR1" t="s">
        <v>111</v>
      </c>
      <c r="AS1" t="s">
        <v>110</v>
      </c>
      <c r="AT1" t="s">
        <v>109</v>
      </c>
      <c r="AU1" t="s">
        <v>113</v>
      </c>
      <c r="AV1" t="s">
        <v>115</v>
      </c>
      <c r="AW1" t="s">
        <v>116</v>
      </c>
      <c r="AX1" t="s">
        <v>117</v>
      </c>
      <c r="AY1" t="s">
        <v>118</v>
      </c>
      <c r="AZ1" t="s">
        <v>119</v>
      </c>
      <c r="BA1" t="s">
        <v>120</v>
      </c>
      <c r="BB1" t="s">
        <v>24</v>
      </c>
      <c r="BC1" t="s">
        <v>25</v>
      </c>
      <c r="BD1" t="s">
        <v>68</v>
      </c>
      <c r="BE1" t="s">
        <v>69</v>
      </c>
      <c r="BF1" t="s">
        <v>72</v>
      </c>
      <c r="BG1" t="s">
        <v>26</v>
      </c>
      <c r="BH1" t="s">
        <v>33</v>
      </c>
      <c r="BI1" t="s">
        <v>97</v>
      </c>
      <c r="BJ1" t="s">
        <v>30</v>
      </c>
      <c r="BK1" t="s">
        <v>27</v>
      </c>
      <c r="BL1" t="s">
        <v>34</v>
      </c>
      <c r="BM1" t="s">
        <v>35</v>
      </c>
      <c r="BN1" t="s">
        <v>36</v>
      </c>
      <c r="BO1" t="s">
        <v>74</v>
      </c>
      <c r="BP1" t="s">
        <v>75</v>
      </c>
      <c r="BQ1" t="s">
        <v>37</v>
      </c>
      <c r="BR1" t="s">
        <v>38</v>
      </c>
      <c r="BS1" t="s">
        <v>28</v>
      </c>
      <c r="BT1" t="s">
        <v>86</v>
      </c>
      <c r="BU1" t="s">
        <v>87</v>
      </c>
      <c r="BV1" t="s">
        <v>88</v>
      </c>
      <c r="BW1" t="s">
        <v>29</v>
      </c>
      <c r="BX1" t="s">
        <v>39</v>
      </c>
      <c r="BY1" t="s">
        <v>99</v>
      </c>
      <c r="BZ1" t="s">
        <v>31</v>
      </c>
      <c r="CA1" t="s">
        <v>32</v>
      </c>
      <c r="CB1" t="s">
        <v>40</v>
      </c>
      <c r="CC1" t="s">
        <v>41</v>
      </c>
      <c r="CD1" t="s">
        <v>42</v>
      </c>
      <c r="CE1" t="s">
        <v>81</v>
      </c>
      <c r="CF1" t="s">
        <v>82</v>
      </c>
      <c r="CG1" t="s">
        <v>43</v>
      </c>
      <c r="CH1" t="s">
        <v>44</v>
      </c>
      <c r="CI1" t="s">
        <v>46</v>
      </c>
      <c r="CJ1" t="s">
        <v>47</v>
      </c>
      <c r="CK1" t="s">
        <v>50</v>
      </c>
      <c r="CL1" t="s">
        <v>100</v>
      </c>
      <c r="CM1" t="s">
        <v>48</v>
      </c>
      <c r="CN1" t="s">
        <v>49</v>
      </c>
      <c r="CO1" t="s">
        <v>51</v>
      </c>
      <c r="CP1" t="s">
        <v>52</v>
      </c>
      <c r="CQ1" t="s">
        <v>53</v>
      </c>
      <c r="CR1" t="s">
        <v>54</v>
      </c>
      <c r="CS1" t="s">
        <v>55</v>
      </c>
      <c r="CT1" t="s">
        <v>56</v>
      </c>
      <c r="CU1" t="s">
        <v>57</v>
      </c>
      <c r="CV1" t="s">
        <v>45</v>
      </c>
    </row>
    <row r="2" spans="1:100" x14ac:dyDescent="0.25">
      <c r="A2" t="s">
        <v>852</v>
      </c>
      <c r="B2" t="s">
        <v>769</v>
      </c>
      <c r="C2" s="1">
        <v>45775</v>
      </c>
      <c r="D2" t="s">
        <v>853</v>
      </c>
      <c r="E2">
        <v>22092289</v>
      </c>
      <c r="F2">
        <v>35</v>
      </c>
      <c r="G2">
        <v>30</v>
      </c>
      <c r="H2" t="s">
        <v>850</v>
      </c>
      <c r="I2" t="s">
        <v>850</v>
      </c>
      <c r="J2" t="s">
        <v>850</v>
      </c>
      <c r="K2" s="1">
        <v>26839</v>
      </c>
      <c r="L2" s="15">
        <f>DATEDIF(K2, DATE(2025,8,29), "Y")</f>
        <v>52</v>
      </c>
      <c r="M2" t="s">
        <v>59</v>
      </c>
      <c r="N2" t="s">
        <v>108</v>
      </c>
      <c r="O2" t="s">
        <v>322</v>
      </c>
      <c r="P2" t="s">
        <v>61</v>
      </c>
      <c r="Q2" t="s">
        <v>63</v>
      </c>
      <c r="R2" t="s">
        <v>62</v>
      </c>
      <c r="S2" t="s">
        <v>61</v>
      </c>
      <c r="T2" t="s">
        <v>854</v>
      </c>
      <c r="U2" t="s">
        <v>61</v>
      </c>
      <c r="V2" t="s">
        <v>1723</v>
      </c>
      <c r="W2" t="s">
        <v>1724</v>
      </c>
      <c r="X2" t="s">
        <v>1543</v>
      </c>
      <c r="Y2" t="s">
        <v>1722</v>
      </c>
      <c r="Z2" t="s">
        <v>66</v>
      </c>
      <c r="AA2" t="s">
        <v>66</v>
      </c>
      <c r="AB2" t="s">
        <v>61</v>
      </c>
      <c r="AC2" t="s">
        <v>855</v>
      </c>
      <c r="AD2">
        <v>3</v>
      </c>
      <c r="AE2">
        <v>4</v>
      </c>
      <c r="AF2" t="s">
        <v>61</v>
      </c>
      <c r="AG2" t="s">
        <v>132</v>
      </c>
      <c r="AH2" t="s">
        <v>63</v>
      </c>
      <c r="AI2" t="s">
        <v>66</v>
      </c>
      <c r="AJ2" t="s">
        <v>61</v>
      </c>
      <c r="AK2" t="s">
        <v>66</v>
      </c>
      <c r="AL2" t="s">
        <v>61</v>
      </c>
      <c r="AM2" t="s">
        <v>66</v>
      </c>
      <c r="AN2">
        <v>1</v>
      </c>
      <c r="AO2" t="s">
        <v>61</v>
      </c>
      <c r="AP2" t="s">
        <v>856</v>
      </c>
      <c r="AQ2" t="s">
        <v>857</v>
      </c>
      <c r="AR2" t="s">
        <v>61</v>
      </c>
      <c r="AS2" t="s">
        <v>61</v>
      </c>
      <c r="AT2" t="s">
        <v>61</v>
      </c>
      <c r="AU2">
        <v>4</v>
      </c>
      <c r="AV2" t="s">
        <v>66</v>
      </c>
      <c r="AW2" t="s">
        <v>66</v>
      </c>
      <c r="AX2" t="s">
        <v>66</v>
      </c>
      <c r="AY2" t="s">
        <v>66</v>
      </c>
      <c r="AZ2" t="s">
        <v>66</v>
      </c>
      <c r="BA2" t="s">
        <v>66</v>
      </c>
      <c r="BB2" t="s">
        <v>858</v>
      </c>
      <c r="BC2" t="s">
        <v>70</v>
      </c>
      <c r="BD2">
        <v>3</v>
      </c>
      <c r="BE2" t="s">
        <v>859</v>
      </c>
      <c r="BF2" t="s">
        <v>104</v>
      </c>
      <c r="BG2" t="s">
        <v>71</v>
      </c>
      <c r="BH2" t="s">
        <v>63</v>
      </c>
      <c r="BI2" t="s">
        <v>624</v>
      </c>
      <c r="BJ2">
        <v>3</v>
      </c>
      <c r="BK2" t="s">
        <v>860</v>
      </c>
      <c r="BL2" t="s">
        <v>175</v>
      </c>
      <c r="BM2">
        <v>72</v>
      </c>
      <c r="BN2" s="3" t="s">
        <v>84</v>
      </c>
      <c r="BO2" t="s">
        <v>861</v>
      </c>
      <c r="BP2" t="s">
        <v>862</v>
      </c>
      <c r="BQ2" t="s">
        <v>78</v>
      </c>
      <c r="BR2" t="s">
        <v>863</v>
      </c>
      <c r="BS2" t="s">
        <v>63</v>
      </c>
      <c r="BT2" t="s">
        <v>66</v>
      </c>
      <c r="BU2" t="s">
        <v>66</v>
      </c>
      <c r="BV2" t="s">
        <v>66</v>
      </c>
      <c r="BW2" t="s">
        <v>66</v>
      </c>
      <c r="BX2" t="s">
        <v>66</v>
      </c>
      <c r="BY2" t="s">
        <v>66</v>
      </c>
      <c r="BZ2" t="s">
        <v>66</v>
      </c>
      <c r="CA2" t="s">
        <v>66</v>
      </c>
      <c r="CB2" t="s">
        <v>66</v>
      </c>
      <c r="CC2" t="s">
        <v>66</v>
      </c>
      <c r="CD2" t="s">
        <v>66</v>
      </c>
      <c r="CE2" t="s">
        <v>66</v>
      </c>
      <c r="CF2" t="s">
        <v>66</v>
      </c>
      <c r="CG2" t="s">
        <v>66</v>
      </c>
      <c r="CH2" t="s">
        <v>66</v>
      </c>
      <c r="CI2" t="s">
        <v>63</v>
      </c>
      <c r="CJ2" s="3" t="s">
        <v>66</v>
      </c>
      <c r="CK2" s="3" t="s">
        <v>66</v>
      </c>
      <c r="CL2" s="3" t="s">
        <v>66</v>
      </c>
      <c r="CM2" s="3" t="s">
        <v>66</v>
      </c>
      <c r="CN2" s="3" t="s">
        <v>66</v>
      </c>
      <c r="CO2" s="3" t="s">
        <v>66</v>
      </c>
      <c r="CP2" s="3" t="s">
        <v>66</v>
      </c>
      <c r="CQ2" s="3" t="s">
        <v>66</v>
      </c>
      <c r="CR2" s="3" t="s">
        <v>66</v>
      </c>
      <c r="CS2" s="3" t="s">
        <v>66</v>
      </c>
      <c r="CT2" s="3" t="s">
        <v>66</v>
      </c>
      <c r="CU2" s="3" t="s">
        <v>66</v>
      </c>
      <c r="CV2" s="3" t="s">
        <v>864</v>
      </c>
    </row>
    <row r="3" spans="1:100" x14ac:dyDescent="0.25">
      <c r="A3" t="s">
        <v>865</v>
      </c>
      <c r="B3" t="s">
        <v>769</v>
      </c>
      <c r="C3" s="1">
        <v>45775</v>
      </c>
      <c r="D3" t="s">
        <v>866</v>
      </c>
      <c r="E3">
        <v>22089409</v>
      </c>
      <c r="F3">
        <v>38</v>
      </c>
      <c r="G3">
        <v>24</v>
      </c>
      <c r="H3" t="s">
        <v>850</v>
      </c>
      <c r="I3" t="s">
        <v>850</v>
      </c>
      <c r="J3" t="s">
        <v>850</v>
      </c>
      <c r="K3" s="1">
        <v>23460</v>
      </c>
      <c r="L3" s="15">
        <f t="shared" ref="L3:L34" si="0">DATEDIF(K3, DATE(2025,8,29), "Y")</f>
        <v>61</v>
      </c>
      <c r="M3" t="s">
        <v>59</v>
      </c>
      <c r="N3" t="s">
        <v>108</v>
      </c>
      <c r="O3" t="s">
        <v>60</v>
      </c>
      <c r="P3" t="s">
        <v>61</v>
      </c>
      <c r="Q3" t="s">
        <v>61</v>
      </c>
      <c r="R3" t="s">
        <v>62</v>
      </c>
      <c r="S3" t="s">
        <v>61</v>
      </c>
      <c r="T3" t="s">
        <v>854</v>
      </c>
      <c r="U3" t="s">
        <v>61</v>
      </c>
      <c r="V3" t="s">
        <v>1543</v>
      </c>
      <c r="W3" t="s">
        <v>1722</v>
      </c>
      <c r="X3" t="s">
        <v>1758</v>
      </c>
      <c r="Y3" t="s">
        <v>1727</v>
      </c>
      <c r="Z3" t="s">
        <v>1728</v>
      </c>
      <c r="AA3" t="s">
        <v>1729</v>
      </c>
      <c r="AB3" t="s">
        <v>63</v>
      </c>
      <c r="AC3" t="s">
        <v>66</v>
      </c>
      <c r="AD3">
        <v>2</v>
      </c>
      <c r="AE3">
        <v>6</v>
      </c>
      <c r="AF3" t="s">
        <v>61</v>
      </c>
      <c r="AG3" t="s">
        <v>132</v>
      </c>
      <c r="AH3" t="s">
        <v>61</v>
      </c>
      <c r="AI3" t="s">
        <v>867</v>
      </c>
      <c r="AJ3" t="s">
        <v>61</v>
      </c>
      <c r="AK3" t="s">
        <v>66</v>
      </c>
      <c r="AL3" t="s">
        <v>61</v>
      </c>
      <c r="AM3" t="s">
        <v>66</v>
      </c>
      <c r="AN3">
        <v>2</v>
      </c>
      <c r="AO3" t="s">
        <v>61</v>
      </c>
      <c r="AP3" t="s">
        <v>868</v>
      </c>
      <c r="AQ3" t="s">
        <v>93</v>
      </c>
      <c r="AR3" t="s">
        <v>63</v>
      </c>
      <c r="AS3" t="s">
        <v>63</v>
      </c>
      <c r="AT3" t="s">
        <v>61</v>
      </c>
      <c r="AU3">
        <v>3</v>
      </c>
      <c r="AV3" t="s">
        <v>66</v>
      </c>
      <c r="AW3" t="s">
        <v>66</v>
      </c>
      <c r="AX3" t="s">
        <v>66</v>
      </c>
      <c r="AY3" t="s">
        <v>66</v>
      </c>
      <c r="AZ3" t="s">
        <v>66</v>
      </c>
      <c r="BA3" t="s">
        <v>66</v>
      </c>
      <c r="BB3">
        <v>180</v>
      </c>
      <c r="BC3" t="s">
        <v>70</v>
      </c>
      <c r="BD3">
        <v>3</v>
      </c>
      <c r="BE3" t="s">
        <v>869</v>
      </c>
      <c r="BF3" t="s">
        <v>104</v>
      </c>
      <c r="BG3" t="s">
        <v>71</v>
      </c>
      <c r="BH3" t="s">
        <v>63</v>
      </c>
      <c r="BI3" t="s">
        <v>174</v>
      </c>
      <c r="BJ3">
        <v>4</v>
      </c>
      <c r="BK3" t="s">
        <v>870</v>
      </c>
      <c r="BL3" t="s">
        <v>871</v>
      </c>
      <c r="BM3">
        <v>72</v>
      </c>
      <c r="BN3" s="3" t="s">
        <v>700</v>
      </c>
      <c r="BO3" t="s">
        <v>872</v>
      </c>
      <c r="BP3" t="s">
        <v>345</v>
      </c>
      <c r="BQ3" t="s">
        <v>78</v>
      </c>
      <c r="BR3" t="s">
        <v>873</v>
      </c>
      <c r="BS3" t="s">
        <v>63</v>
      </c>
      <c r="BT3" t="s">
        <v>66</v>
      </c>
      <c r="BU3" t="s">
        <v>66</v>
      </c>
      <c r="BV3" t="s">
        <v>66</v>
      </c>
      <c r="BW3" t="s">
        <v>66</v>
      </c>
      <c r="BX3" t="s">
        <v>66</v>
      </c>
      <c r="BY3" t="s">
        <v>66</v>
      </c>
      <c r="BZ3" t="s">
        <v>66</v>
      </c>
      <c r="CA3" t="s">
        <v>66</v>
      </c>
      <c r="CB3" t="s">
        <v>66</v>
      </c>
      <c r="CC3" t="s">
        <v>66</v>
      </c>
      <c r="CD3" t="s">
        <v>66</v>
      </c>
      <c r="CE3" t="s">
        <v>66</v>
      </c>
      <c r="CF3" t="s">
        <v>66</v>
      </c>
      <c r="CG3" t="s">
        <v>66</v>
      </c>
      <c r="CH3" t="s">
        <v>66</v>
      </c>
      <c r="CI3" t="s">
        <v>63</v>
      </c>
      <c r="CJ3" s="3" t="s">
        <v>66</v>
      </c>
      <c r="CK3" s="3" t="s">
        <v>66</v>
      </c>
      <c r="CL3" s="3" t="s">
        <v>66</v>
      </c>
      <c r="CM3" s="3" t="s">
        <v>66</v>
      </c>
      <c r="CN3" s="3" t="s">
        <v>66</v>
      </c>
      <c r="CO3" s="3" t="s">
        <v>66</v>
      </c>
      <c r="CP3" s="3" t="s">
        <v>66</v>
      </c>
      <c r="CQ3" s="3" t="s">
        <v>66</v>
      </c>
      <c r="CR3" s="3" t="s">
        <v>66</v>
      </c>
      <c r="CS3" s="3" t="s">
        <v>66</v>
      </c>
      <c r="CT3" s="3" t="s">
        <v>66</v>
      </c>
      <c r="CU3" s="3" t="s">
        <v>66</v>
      </c>
      <c r="CV3" s="3" t="s">
        <v>874</v>
      </c>
    </row>
    <row r="4" spans="1:100" x14ac:dyDescent="0.25">
      <c r="A4" t="s">
        <v>875</v>
      </c>
      <c r="B4" t="s">
        <v>769</v>
      </c>
      <c r="C4" s="1">
        <v>45775</v>
      </c>
      <c r="D4" t="s">
        <v>876</v>
      </c>
      <c r="E4">
        <v>22086318</v>
      </c>
      <c r="F4">
        <v>41</v>
      </c>
      <c r="G4">
        <v>20</v>
      </c>
      <c r="H4" t="s">
        <v>850</v>
      </c>
      <c r="I4" t="s">
        <v>850</v>
      </c>
      <c r="J4" t="s">
        <v>850</v>
      </c>
      <c r="K4" s="1">
        <v>23586</v>
      </c>
      <c r="L4" s="15">
        <f t="shared" si="0"/>
        <v>61</v>
      </c>
      <c r="M4" t="s">
        <v>59</v>
      </c>
      <c r="N4" t="s">
        <v>108</v>
      </c>
      <c r="O4" t="s">
        <v>60</v>
      </c>
      <c r="P4" t="s">
        <v>61</v>
      </c>
      <c r="Q4" t="s">
        <v>61</v>
      </c>
      <c r="R4" t="s">
        <v>62</v>
      </c>
      <c r="S4" t="s">
        <v>61</v>
      </c>
      <c r="T4" t="s">
        <v>854</v>
      </c>
      <c r="U4" t="s">
        <v>61</v>
      </c>
      <c r="V4" t="s">
        <v>1543</v>
      </c>
      <c r="W4" t="s">
        <v>1722</v>
      </c>
      <c r="X4" t="s">
        <v>1723</v>
      </c>
      <c r="Y4" t="s">
        <v>1724</v>
      </c>
      <c r="Z4" t="s">
        <v>1730</v>
      </c>
      <c r="AA4" t="s">
        <v>1731</v>
      </c>
      <c r="AB4" t="s">
        <v>63</v>
      </c>
      <c r="AC4" t="s">
        <v>66</v>
      </c>
      <c r="AD4">
        <v>0</v>
      </c>
      <c r="AE4">
        <v>1</v>
      </c>
      <c r="AF4" t="s">
        <v>61</v>
      </c>
      <c r="AG4" t="s">
        <v>877</v>
      </c>
      <c r="AH4" t="s">
        <v>63</v>
      </c>
      <c r="AI4" t="s">
        <v>66</v>
      </c>
      <c r="AJ4" t="s">
        <v>61</v>
      </c>
      <c r="AK4" t="s">
        <v>66</v>
      </c>
      <c r="AL4" t="s">
        <v>61</v>
      </c>
      <c r="AM4" t="s">
        <v>66</v>
      </c>
      <c r="AN4">
        <v>1</v>
      </c>
      <c r="AO4" t="s">
        <v>61</v>
      </c>
      <c r="AP4" t="s">
        <v>878</v>
      </c>
      <c r="AQ4" t="s">
        <v>879</v>
      </c>
      <c r="AR4" t="s">
        <v>63</v>
      </c>
      <c r="AS4" t="s">
        <v>61</v>
      </c>
      <c r="AT4" t="s">
        <v>61</v>
      </c>
      <c r="AU4">
        <v>5</v>
      </c>
      <c r="AV4" t="s">
        <v>66</v>
      </c>
      <c r="AW4" t="s">
        <v>66</v>
      </c>
      <c r="AX4" t="s">
        <v>66</v>
      </c>
      <c r="AY4" t="s">
        <v>66</v>
      </c>
      <c r="AZ4" t="s">
        <v>66</v>
      </c>
      <c r="BA4" t="s">
        <v>66</v>
      </c>
      <c r="BB4" t="s">
        <v>880</v>
      </c>
      <c r="BC4" t="s">
        <v>70</v>
      </c>
      <c r="BD4">
        <v>3</v>
      </c>
      <c r="BE4" t="s">
        <v>105</v>
      </c>
      <c r="BF4" t="s">
        <v>881</v>
      </c>
      <c r="BG4" t="s">
        <v>71</v>
      </c>
      <c r="BH4" t="s">
        <v>63</v>
      </c>
      <c r="BI4" t="s">
        <v>554</v>
      </c>
      <c r="BJ4" s="3" t="s">
        <v>589</v>
      </c>
      <c r="BK4" t="s">
        <v>860</v>
      </c>
      <c r="BL4" t="s">
        <v>376</v>
      </c>
      <c r="BM4" t="s">
        <v>882</v>
      </c>
      <c r="BN4" s="3" t="s">
        <v>796</v>
      </c>
      <c r="BO4" t="s">
        <v>883</v>
      </c>
      <c r="BP4" t="s">
        <v>514</v>
      </c>
      <c r="BQ4" t="s">
        <v>78</v>
      </c>
      <c r="BR4" t="s">
        <v>884</v>
      </c>
      <c r="BS4" t="s">
        <v>63</v>
      </c>
      <c r="BT4" t="s">
        <v>66</v>
      </c>
      <c r="BU4" t="s">
        <v>66</v>
      </c>
      <c r="BV4" t="s">
        <v>66</v>
      </c>
      <c r="BW4" t="s">
        <v>66</v>
      </c>
      <c r="BX4" t="s">
        <v>66</v>
      </c>
      <c r="BY4" t="s">
        <v>66</v>
      </c>
      <c r="BZ4" t="s">
        <v>66</v>
      </c>
      <c r="CA4" t="s">
        <v>66</v>
      </c>
      <c r="CB4" t="s">
        <v>66</v>
      </c>
      <c r="CC4" t="s">
        <v>66</v>
      </c>
      <c r="CD4" t="s">
        <v>66</v>
      </c>
      <c r="CE4" t="s">
        <v>66</v>
      </c>
      <c r="CF4" t="s">
        <v>66</v>
      </c>
      <c r="CG4" t="s">
        <v>66</v>
      </c>
      <c r="CH4" t="s">
        <v>66</v>
      </c>
      <c r="CI4" t="s">
        <v>63</v>
      </c>
      <c r="CJ4" t="s">
        <v>66</v>
      </c>
      <c r="CK4" t="s">
        <v>66</v>
      </c>
      <c r="CL4" t="s">
        <v>66</v>
      </c>
      <c r="CM4" t="s">
        <v>66</v>
      </c>
      <c r="CN4" t="s">
        <v>66</v>
      </c>
      <c r="CO4" t="s">
        <v>66</v>
      </c>
      <c r="CP4" t="s">
        <v>66</v>
      </c>
      <c r="CQ4" t="s">
        <v>66</v>
      </c>
      <c r="CR4" t="s">
        <v>66</v>
      </c>
      <c r="CS4" t="s">
        <v>66</v>
      </c>
      <c r="CT4" t="s">
        <v>66</v>
      </c>
      <c r="CU4" s="3" t="s">
        <v>66</v>
      </c>
      <c r="CV4" s="3" t="s">
        <v>885</v>
      </c>
    </row>
    <row r="5" spans="1:100" x14ac:dyDescent="0.25">
      <c r="A5" t="s">
        <v>886</v>
      </c>
      <c r="B5" t="s">
        <v>769</v>
      </c>
      <c r="C5" s="1">
        <v>45775</v>
      </c>
      <c r="D5" t="s">
        <v>887</v>
      </c>
      <c r="E5">
        <v>22086548</v>
      </c>
      <c r="F5">
        <v>50</v>
      </c>
      <c r="G5">
        <v>30</v>
      </c>
      <c r="H5" t="s">
        <v>850</v>
      </c>
      <c r="I5" t="s">
        <v>850</v>
      </c>
      <c r="J5" t="s">
        <v>850</v>
      </c>
      <c r="K5" s="1">
        <v>22184</v>
      </c>
      <c r="L5" s="15">
        <f t="shared" si="0"/>
        <v>64</v>
      </c>
      <c r="M5" t="s">
        <v>59</v>
      </c>
      <c r="N5" t="s">
        <v>108</v>
      </c>
      <c r="O5" t="s">
        <v>60</v>
      </c>
      <c r="P5" t="s">
        <v>61</v>
      </c>
      <c r="Q5" t="s">
        <v>61</v>
      </c>
      <c r="R5" t="s">
        <v>285</v>
      </c>
      <c r="S5" t="s">
        <v>61</v>
      </c>
      <c r="T5" t="s">
        <v>854</v>
      </c>
      <c r="U5" t="s">
        <v>61</v>
      </c>
      <c r="V5" t="s">
        <v>1723</v>
      </c>
      <c r="W5" t="s">
        <v>1724</v>
      </c>
      <c r="X5" t="s">
        <v>1730</v>
      </c>
      <c r="Y5" t="s">
        <v>1724</v>
      </c>
      <c r="Z5" t="s">
        <v>1733</v>
      </c>
      <c r="AA5" t="s">
        <v>1732</v>
      </c>
      <c r="AB5" t="s">
        <v>63</v>
      </c>
      <c r="AC5" t="s">
        <v>66</v>
      </c>
      <c r="AD5">
        <v>0</v>
      </c>
      <c r="AE5">
        <v>3</v>
      </c>
      <c r="AF5" t="s">
        <v>61</v>
      </c>
      <c r="AG5" t="s">
        <v>132</v>
      </c>
      <c r="AH5" t="s">
        <v>63</v>
      </c>
      <c r="AI5" t="s">
        <v>66</v>
      </c>
      <c r="AJ5" t="s">
        <v>63</v>
      </c>
      <c r="AK5" t="s">
        <v>888</v>
      </c>
      <c r="AL5" t="s">
        <v>61</v>
      </c>
      <c r="AM5" t="s">
        <v>66</v>
      </c>
      <c r="AN5">
        <v>2</v>
      </c>
      <c r="AO5" t="s">
        <v>61</v>
      </c>
      <c r="AP5" t="s">
        <v>889</v>
      </c>
      <c r="AQ5" t="s">
        <v>93</v>
      </c>
      <c r="AR5" t="s">
        <v>63</v>
      </c>
      <c r="AS5" t="s">
        <v>63</v>
      </c>
      <c r="AT5" t="s">
        <v>61</v>
      </c>
      <c r="AU5">
        <v>4</v>
      </c>
      <c r="AV5" t="s">
        <v>890</v>
      </c>
      <c r="AW5" t="s">
        <v>93</v>
      </c>
      <c r="AX5" t="s">
        <v>63</v>
      </c>
      <c r="AY5" t="s">
        <v>63</v>
      </c>
      <c r="AZ5" t="s">
        <v>61</v>
      </c>
      <c r="BA5">
        <v>6</v>
      </c>
      <c r="BB5" t="s">
        <v>891</v>
      </c>
      <c r="BC5" t="s">
        <v>70</v>
      </c>
      <c r="BD5">
        <v>4</v>
      </c>
      <c r="BE5" t="s">
        <v>892</v>
      </c>
      <c r="BF5" t="s">
        <v>104</v>
      </c>
      <c r="BG5" t="s">
        <v>71</v>
      </c>
      <c r="BH5" t="s">
        <v>63</v>
      </c>
      <c r="BI5" t="s">
        <v>257</v>
      </c>
      <c r="BJ5">
        <v>3</v>
      </c>
      <c r="BK5" t="s">
        <v>860</v>
      </c>
      <c r="BL5">
        <v>25</v>
      </c>
      <c r="BM5" t="s">
        <v>73</v>
      </c>
      <c r="BN5">
        <v>10</v>
      </c>
      <c r="BO5" t="s">
        <v>893</v>
      </c>
      <c r="BP5" t="s">
        <v>502</v>
      </c>
      <c r="BQ5" t="s">
        <v>78</v>
      </c>
      <c r="BR5" t="s">
        <v>175</v>
      </c>
      <c r="BS5" t="s">
        <v>894</v>
      </c>
      <c r="BT5">
        <v>4</v>
      </c>
      <c r="BU5" t="s">
        <v>892</v>
      </c>
      <c r="BV5" t="s">
        <v>104</v>
      </c>
      <c r="BW5" t="s">
        <v>163</v>
      </c>
      <c r="BX5" t="s">
        <v>63</v>
      </c>
      <c r="BY5" t="s">
        <v>895</v>
      </c>
      <c r="BZ5" t="s">
        <v>896</v>
      </c>
      <c r="CA5" t="s">
        <v>66</v>
      </c>
      <c r="CB5" s="3" t="s">
        <v>467</v>
      </c>
      <c r="CC5" t="s">
        <v>66</v>
      </c>
      <c r="CD5" t="s">
        <v>66</v>
      </c>
      <c r="CE5" t="s">
        <v>66</v>
      </c>
      <c r="CF5" t="s">
        <v>275</v>
      </c>
      <c r="CG5" t="s">
        <v>78</v>
      </c>
      <c r="CH5" s="3" t="s">
        <v>373</v>
      </c>
      <c r="CI5" t="s">
        <v>950</v>
      </c>
      <c r="CJ5" s="3" t="s">
        <v>79</v>
      </c>
      <c r="CK5" s="3" t="s">
        <v>897</v>
      </c>
      <c r="CL5" s="3" t="s">
        <v>101</v>
      </c>
      <c r="CM5">
        <v>7</v>
      </c>
      <c r="CN5" s="3" t="s">
        <v>898</v>
      </c>
      <c r="CO5">
        <v>8</v>
      </c>
      <c r="CP5">
        <v>1</v>
      </c>
      <c r="CQ5">
        <v>80</v>
      </c>
      <c r="CR5">
        <v>300</v>
      </c>
      <c r="CS5" s="3" t="s">
        <v>372</v>
      </c>
      <c r="CT5" s="3" t="s">
        <v>78</v>
      </c>
      <c r="CU5" s="3" t="s">
        <v>899</v>
      </c>
      <c r="CV5" s="3" t="s">
        <v>900</v>
      </c>
    </row>
    <row r="6" spans="1:100" x14ac:dyDescent="0.25">
      <c r="A6" t="s">
        <v>901</v>
      </c>
      <c r="B6" t="s">
        <v>769</v>
      </c>
      <c r="C6" s="1">
        <v>45775</v>
      </c>
      <c r="D6" t="s">
        <v>902</v>
      </c>
      <c r="E6">
        <v>21859466</v>
      </c>
      <c r="F6">
        <v>30</v>
      </c>
      <c r="G6">
        <v>20</v>
      </c>
      <c r="H6" t="s">
        <v>850</v>
      </c>
      <c r="I6" t="s">
        <v>850</v>
      </c>
      <c r="J6" t="s">
        <v>850</v>
      </c>
      <c r="K6" s="1">
        <v>25156</v>
      </c>
      <c r="L6" s="15">
        <f t="shared" si="0"/>
        <v>56</v>
      </c>
      <c r="M6" t="s">
        <v>59</v>
      </c>
      <c r="N6" t="s">
        <v>108</v>
      </c>
      <c r="O6" t="s">
        <v>322</v>
      </c>
      <c r="P6" t="s">
        <v>61</v>
      </c>
      <c r="Q6" t="s">
        <v>61</v>
      </c>
      <c r="R6" t="s">
        <v>62</v>
      </c>
      <c r="S6" t="s">
        <v>61</v>
      </c>
      <c r="T6" t="s">
        <v>903</v>
      </c>
      <c r="U6" t="s">
        <v>61</v>
      </c>
      <c r="V6" t="s">
        <v>1723</v>
      </c>
      <c r="W6" t="s">
        <v>1724</v>
      </c>
      <c r="X6" t="s">
        <v>66</v>
      </c>
      <c r="Y6" t="s">
        <v>66</v>
      </c>
      <c r="Z6" t="s">
        <v>66</v>
      </c>
      <c r="AA6" t="s">
        <v>66</v>
      </c>
      <c r="AB6" t="s">
        <v>63</v>
      </c>
      <c r="AC6" t="s">
        <v>66</v>
      </c>
      <c r="AD6">
        <v>1</v>
      </c>
      <c r="AE6">
        <v>2</v>
      </c>
      <c r="AF6" t="s">
        <v>61</v>
      </c>
      <c r="AG6" t="s">
        <v>132</v>
      </c>
      <c r="AH6" t="s">
        <v>61</v>
      </c>
      <c r="AI6" t="s">
        <v>904</v>
      </c>
      <c r="AJ6" t="s">
        <v>63</v>
      </c>
      <c r="AK6" t="s">
        <v>905</v>
      </c>
      <c r="AL6" t="s">
        <v>93</v>
      </c>
      <c r="AM6" t="s">
        <v>66</v>
      </c>
      <c r="AN6">
        <v>1</v>
      </c>
      <c r="AO6" t="s">
        <v>61</v>
      </c>
      <c r="AP6" t="s">
        <v>906</v>
      </c>
      <c r="AQ6" t="s">
        <v>93</v>
      </c>
      <c r="AR6" t="s">
        <v>63</v>
      </c>
      <c r="AS6" t="s">
        <v>63</v>
      </c>
      <c r="AT6" t="s">
        <v>61</v>
      </c>
      <c r="AU6">
        <v>5</v>
      </c>
      <c r="AV6" t="s">
        <v>66</v>
      </c>
      <c r="AW6" t="s">
        <v>66</v>
      </c>
      <c r="AX6" t="s">
        <v>66</v>
      </c>
      <c r="AY6" t="s">
        <v>66</v>
      </c>
      <c r="AZ6" t="s">
        <v>66</v>
      </c>
      <c r="BA6" t="s">
        <v>66</v>
      </c>
      <c r="BB6" t="s">
        <v>907</v>
      </c>
      <c r="BC6" t="s">
        <v>70</v>
      </c>
      <c r="BD6">
        <v>3</v>
      </c>
      <c r="BE6" t="s">
        <v>672</v>
      </c>
      <c r="BF6" t="s">
        <v>104</v>
      </c>
      <c r="BG6" t="s">
        <v>71</v>
      </c>
      <c r="BH6" t="s">
        <v>63</v>
      </c>
      <c r="BI6" t="s">
        <v>254</v>
      </c>
      <c r="BJ6" s="3" t="s">
        <v>225</v>
      </c>
      <c r="BK6" t="s">
        <v>870</v>
      </c>
      <c r="BL6">
        <v>20</v>
      </c>
      <c r="BM6">
        <v>3</v>
      </c>
      <c r="BN6" s="3" t="s">
        <v>225</v>
      </c>
      <c r="BO6" t="s">
        <v>908</v>
      </c>
      <c r="BP6" t="s">
        <v>94</v>
      </c>
      <c r="BQ6" t="s">
        <v>78</v>
      </c>
      <c r="BR6" t="s">
        <v>909</v>
      </c>
      <c r="BS6" t="s">
        <v>894</v>
      </c>
      <c r="BT6">
        <v>4</v>
      </c>
      <c r="BU6" t="s">
        <v>672</v>
      </c>
      <c r="BV6" t="s">
        <v>104</v>
      </c>
      <c r="BW6" t="s">
        <v>163</v>
      </c>
      <c r="BX6" t="s">
        <v>63</v>
      </c>
      <c r="BY6" t="s">
        <v>910</v>
      </c>
      <c r="BZ6" t="s">
        <v>83</v>
      </c>
      <c r="CA6" t="s">
        <v>66</v>
      </c>
      <c r="CB6" s="3" t="s">
        <v>77</v>
      </c>
      <c r="CC6">
        <v>4</v>
      </c>
      <c r="CD6" t="s">
        <v>66</v>
      </c>
      <c r="CE6" t="s">
        <v>66</v>
      </c>
      <c r="CF6" t="s">
        <v>172</v>
      </c>
      <c r="CG6" t="s">
        <v>78</v>
      </c>
      <c r="CH6">
        <v>4</v>
      </c>
      <c r="CI6" t="s">
        <v>63</v>
      </c>
      <c r="CJ6" s="3" t="s">
        <v>66</v>
      </c>
      <c r="CK6" s="3" t="s">
        <v>66</v>
      </c>
      <c r="CL6" s="3" t="s">
        <v>66</v>
      </c>
      <c r="CM6" s="3" t="s">
        <v>66</v>
      </c>
      <c r="CN6" s="3" t="s">
        <v>66</v>
      </c>
      <c r="CO6" s="3" t="s">
        <v>66</v>
      </c>
      <c r="CP6" s="3" t="s">
        <v>66</v>
      </c>
      <c r="CQ6" s="3" t="s">
        <v>66</v>
      </c>
      <c r="CR6" s="3" t="s">
        <v>66</v>
      </c>
      <c r="CS6" s="3" t="s">
        <v>66</v>
      </c>
      <c r="CT6" s="3" t="s">
        <v>66</v>
      </c>
      <c r="CU6" s="3" t="s">
        <v>66</v>
      </c>
      <c r="CV6" s="3" t="s">
        <v>911</v>
      </c>
    </row>
    <row r="7" spans="1:100" x14ac:dyDescent="0.25">
      <c r="A7" t="s">
        <v>912</v>
      </c>
      <c r="B7" t="s">
        <v>769</v>
      </c>
      <c r="C7" s="1">
        <v>45776</v>
      </c>
      <c r="D7" t="s">
        <v>913</v>
      </c>
      <c r="E7">
        <v>44825753</v>
      </c>
      <c r="F7">
        <v>13</v>
      </c>
      <c r="G7">
        <v>13</v>
      </c>
      <c r="H7" t="s">
        <v>850</v>
      </c>
      <c r="I7" t="s">
        <v>850</v>
      </c>
      <c r="J7" t="s">
        <v>914</v>
      </c>
      <c r="K7" s="1">
        <v>31718</v>
      </c>
      <c r="L7" s="15">
        <f t="shared" si="0"/>
        <v>38</v>
      </c>
      <c r="M7" t="s">
        <v>59</v>
      </c>
      <c r="N7" t="s">
        <v>108</v>
      </c>
      <c r="O7" t="s">
        <v>60</v>
      </c>
      <c r="P7" t="s">
        <v>61</v>
      </c>
      <c r="Q7" t="s">
        <v>61</v>
      </c>
      <c r="R7" t="s">
        <v>62</v>
      </c>
      <c r="S7" t="s">
        <v>61</v>
      </c>
      <c r="T7" t="s">
        <v>915</v>
      </c>
      <c r="U7" t="s">
        <v>61</v>
      </c>
      <c r="V7" t="s">
        <v>1543</v>
      </c>
      <c r="W7" t="s">
        <v>1722</v>
      </c>
      <c r="X7" t="s">
        <v>66</v>
      </c>
      <c r="Y7" t="s">
        <v>66</v>
      </c>
      <c r="Z7" t="s">
        <v>66</v>
      </c>
      <c r="AA7" t="s">
        <v>66</v>
      </c>
      <c r="AB7" t="s">
        <v>63</v>
      </c>
      <c r="AC7" t="s">
        <v>66</v>
      </c>
      <c r="AD7">
        <v>4</v>
      </c>
      <c r="AE7">
        <v>3</v>
      </c>
      <c r="AF7" t="s">
        <v>61</v>
      </c>
      <c r="AG7" t="s">
        <v>132</v>
      </c>
      <c r="AH7" t="s">
        <v>63</v>
      </c>
      <c r="AI7" t="s">
        <v>66</v>
      </c>
      <c r="AJ7" t="s">
        <v>63</v>
      </c>
      <c r="AK7" t="s">
        <v>916</v>
      </c>
      <c r="AL7" t="s">
        <v>61</v>
      </c>
      <c r="AM7" t="s">
        <v>66</v>
      </c>
      <c r="AN7">
        <v>1</v>
      </c>
      <c r="AO7" t="s">
        <v>61</v>
      </c>
      <c r="AP7" t="s">
        <v>917</v>
      </c>
      <c r="AQ7" t="s">
        <v>93</v>
      </c>
      <c r="AR7" t="s">
        <v>93</v>
      </c>
      <c r="AS7" t="s">
        <v>93</v>
      </c>
      <c r="AT7" t="s">
        <v>93</v>
      </c>
      <c r="AU7">
        <v>3</v>
      </c>
      <c r="AV7" t="s">
        <v>66</v>
      </c>
      <c r="AW7" t="s">
        <v>66</v>
      </c>
      <c r="AX7" t="s">
        <v>66</v>
      </c>
      <c r="AY7" t="s">
        <v>66</v>
      </c>
      <c r="AZ7" t="s">
        <v>66</v>
      </c>
      <c r="BA7" t="s">
        <v>66</v>
      </c>
      <c r="BB7" t="s">
        <v>918</v>
      </c>
      <c r="BC7" t="s">
        <v>70</v>
      </c>
      <c r="BD7">
        <v>3</v>
      </c>
      <c r="BE7" t="s">
        <v>919</v>
      </c>
      <c r="BF7" t="s">
        <v>104</v>
      </c>
      <c r="BG7" t="s">
        <v>71</v>
      </c>
      <c r="BH7" t="s">
        <v>63</v>
      </c>
      <c r="BI7" t="s">
        <v>254</v>
      </c>
      <c r="BJ7">
        <v>3</v>
      </c>
      <c r="BK7" t="s">
        <v>920</v>
      </c>
      <c r="BL7" t="s">
        <v>234</v>
      </c>
      <c r="BM7" s="16" t="s">
        <v>73</v>
      </c>
      <c r="BN7" s="3" t="s">
        <v>396</v>
      </c>
      <c r="BO7" t="s">
        <v>921</v>
      </c>
      <c r="BP7" t="s">
        <v>922</v>
      </c>
      <c r="BQ7" t="s">
        <v>78</v>
      </c>
      <c r="BR7" t="s">
        <v>923</v>
      </c>
      <c r="BS7" t="s">
        <v>107</v>
      </c>
      <c r="BT7">
        <v>4</v>
      </c>
      <c r="BU7" t="s">
        <v>919</v>
      </c>
      <c r="BV7" t="s">
        <v>104</v>
      </c>
      <c r="BW7" t="s">
        <v>96</v>
      </c>
      <c r="BX7" t="s">
        <v>63</v>
      </c>
      <c r="BY7" t="s">
        <v>254</v>
      </c>
      <c r="BZ7" s="3" t="s">
        <v>479</v>
      </c>
      <c r="CA7" t="s">
        <v>924</v>
      </c>
      <c r="CB7" s="3" t="s">
        <v>142</v>
      </c>
      <c r="CC7" t="s">
        <v>925</v>
      </c>
      <c r="CD7" s="3" t="s">
        <v>926</v>
      </c>
      <c r="CE7" t="s">
        <v>927</v>
      </c>
      <c r="CF7" s="3" t="s">
        <v>514</v>
      </c>
      <c r="CG7" t="s">
        <v>78</v>
      </c>
      <c r="CH7" s="3" t="s">
        <v>713</v>
      </c>
      <c r="CI7" t="s">
        <v>894</v>
      </c>
      <c r="CJ7" s="3" t="s">
        <v>163</v>
      </c>
      <c r="CK7" s="3" t="s">
        <v>63</v>
      </c>
      <c r="CL7" s="3" t="s">
        <v>895</v>
      </c>
      <c r="CM7" s="3" t="s">
        <v>928</v>
      </c>
      <c r="CN7" s="3" t="s">
        <v>66</v>
      </c>
      <c r="CO7" s="3" t="s">
        <v>142</v>
      </c>
      <c r="CP7" s="3" t="s">
        <v>66</v>
      </c>
      <c r="CQ7" s="3" t="s">
        <v>66</v>
      </c>
      <c r="CR7" s="3" t="s">
        <v>350</v>
      </c>
      <c r="CS7" s="3" t="s">
        <v>514</v>
      </c>
      <c r="CT7" s="3" t="s">
        <v>78</v>
      </c>
      <c r="CU7">
        <v>3.5</v>
      </c>
      <c r="CV7" s="3" t="s">
        <v>929</v>
      </c>
    </row>
    <row r="8" spans="1:100" x14ac:dyDescent="0.25">
      <c r="A8" t="s">
        <v>930</v>
      </c>
      <c r="B8" t="s">
        <v>769</v>
      </c>
      <c r="C8" s="1">
        <v>45776</v>
      </c>
      <c r="D8" t="s">
        <v>931</v>
      </c>
      <c r="E8">
        <v>22284947</v>
      </c>
      <c r="F8">
        <v>58</v>
      </c>
      <c r="G8">
        <v>19</v>
      </c>
      <c r="H8" t="s">
        <v>850</v>
      </c>
      <c r="I8" t="s">
        <v>850</v>
      </c>
      <c r="J8" t="s">
        <v>850</v>
      </c>
      <c r="K8" s="1">
        <v>20264</v>
      </c>
      <c r="L8" s="15">
        <f t="shared" si="0"/>
        <v>70</v>
      </c>
      <c r="M8" t="s">
        <v>59</v>
      </c>
      <c r="N8" t="s">
        <v>89</v>
      </c>
      <c r="O8" t="s">
        <v>322</v>
      </c>
      <c r="P8" t="s">
        <v>61</v>
      </c>
      <c r="Q8" t="s">
        <v>61</v>
      </c>
      <c r="R8" t="s">
        <v>129</v>
      </c>
      <c r="S8" t="s">
        <v>61</v>
      </c>
      <c r="T8" t="s">
        <v>932</v>
      </c>
      <c r="U8" t="s">
        <v>61</v>
      </c>
      <c r="V8" t="s">
        <v>1728</v>
      </c>
      <c r="W8" t="s">
        <v>1708</v>
      </c>
      <c r="X8" t="s">
        <v>66</v>
      </c>
      <c r="Y8" t="s">
        <v>66</v>
      </c>
      <c r="Z8" t="s">
        <v>66</v>
      </c>
      <c r="AA8" t="s">
        <v>66</v>
      </c>
      <c r="AB8" t="s">
        <v>61</v>
      </c>
      <c r="AC8" t="s">
        <v>855</v>
      </c>
      <c r="AD8">
        <v>1</v>
      </c>
      <c r="AE8">
        <v>3</v>
      </c>
      <c r="AF8" t="s">
        <v>63</v>
      </c>
      <c r="AG8" t="s">
        <v>66</v>
      </c>
      <c r="AH8" t="s">
        <v>63</v>
      </c>
      <c r="AI8" t="s">
        <v>66</v>
      </c>
      <c r="AJ8" t="s">
        <v>61</v>
      </c>
      <c r="AK8" t="s">
        <v>66</v>
      </c>
      <c r="AL8" t="s">
        <v>63</v>
      </c>
      <c r="AM8" t="s">
        <v>933</v>
      </c>
      <c r="AN8">
        <v>0</v>
      </c>
      <c r="AO8" t="s">
        <v>66</v>
      </c>
      <c r="AP8" t="s">
        <v>934</v>
      </c>
      <c r="AQ8" t="s">
        <v>935</v>
      </c>
      <c r="AR8" t="s">
        <v>63</v>
      </c>
      <c r="AS8" t="s">
        <v>63</v>
      </c>
      <c r="AT8" t="s">
        <v>61</v>
      </c>
      <c r="AU8">
        <v>5</v>
      </c>
      <c r="AV8" t="s">
        <v>66</v>
      </c>
      <c r="AW8" t="s">
        <v>66</v>
      </c>
      <c r="AX8" t="s">
        <v>66</v>
      </c>
      <c r="AY8" t="s">
        <v>66</v>
      </c>
      <c r="AZ8" t="s">
        <v>66</v>
      </c>
      <c r="BA8" t="s">
        <v>66</v>
      </c>
      <c r="BB8">
        <v>240</v>
      </c>
      <c r="BC8" t="s">
        <v>70</v>
      </c>
      <c r="BD8">
        <v>2</v>
      </c>
      <c r="BE8" t="s">
        <v>936</v>
      </c>
      <c r="BF8" t="s">
        <v>104</v>
      </c>
      <c r="BG8" t="s">
        <v>71</v>
      </c>
      <c r="BH8" t="s">
        <v>63</v>
      </c>
      <c r="BI8" t="s">
        <v>374</v>
      </c>
      <c r="BJ8" s="3">
        <v>5</v>
      </c>
      <c r="BK8" t="s">
        <v>937</v>
      </c>
      <c r="BL8" t="s">
        <v>136</v>
      </c>
      <c r="BM8" t="s">
        <v>73</v>
      </c>
      <c r="BN8">
        <v>8</v>
      </c>
      <c r="BO8" t="s">
        <v>938</v>
      </c>
      <c r="BP8" t="s">
        <v>939</v>
      </c>
      <c r="BQ8" t="s">
        <v>78</v>
      </c>
      <c r="BR8" t="s">
        <v>940</v>
      </c>
      <c r="BS8" t="s">
        <v>63</v>
      </c>
      <c r="BT8" t="s">
        <v>66</v>
      </c>
      <c r="BU8" t="s">
        <v>66</v>
      </c>
      <c r="BV8" t="s">
        <v>66</v>
      </c>
      <c r="BW8" t="s">
        <v>66</v>
      </c>
      <c r="BX8" t="s">
        <v>66</v>
      </c>
      <c r="BY8" t="s">
        <v>66</v>
      </c>
      <c r="BZ8" t="s">
        <v>66</v>
      </c>
      <c r="CA8" t="s">
        <v>66</v>
      </c>
      <c r="CB8" t="s">
        <v>66</v>
      </c>
      <c r="CC8" t="s">
        <v>66</v>
      </c>
      <c r="CD8" t="s">
        <v>66</v>
      </c>
      <c r="CE8" t="s">
        <v>66</v>
      </c>
      <c r="CF8" t="s">
        <v>66</v>
      </c>
      <c r="CG8" t="s">
        <v>66</v>
      </c>
      <c r="CH8" t="s">
        <v>66</v>
      </c>
      <c r="CI8" t="s">
        <v>63</v>
      </c>
      <c r="CJ8" s="3" t="s">
        <v>66</v>
      </c>
      <c r="CK8" s="3" t="s">
        <v>66</v>
      </c>
      <c r="CL8" s="3" t="s">
        <v>66</v>
      </c>
      <c r="CM8" s="3" t="s">
        <v>66</v>
      </c>
      <c r="CN8" s="3" t="s">
        <v>66</v>
      </c>
      <c r="CO8" s="3" t="s">
        <v>66</v>
      </c>
      <c r="CP8" s="3" t="s">
        <v>66</v>
      </c>
      <c r="CQ8" s="3" t="s">
        <v>66</v>
      </c>
      <c r="CR8" s="3" t="s">
        <v>66</v>
      </c>
      <c r="CS8" s="3" t="s">
        <v>66</v>
      </c>
      <c r="CT8" s="3" t="s">
        <v>66</v>
      </c>
      <c r="CU8" s="3" t="s">
        <v>66</v>
      </c>
      <c r="CV8" s="3" t="s">
        <v>941</v>
      </c>
    </row>
    <row r="9" spans="1:100" x14ac:dyDescent="0.25">
      <c r="A9" t="s">
        <v>942</v>
      </c>
      <c r="B9" t="s">
        <v>769</v>
      </c>
      <c r="C9" s="1">
        <v>45776</v>
      </c>
      <c r="D9" t="s">
        <v>943</v>
      </c>
      <c r="E9">
        <v>22092013</v>
      </c>
      <c r="F9">
        <v>40</v>
      </c>
      <c r="G9">
        <v>25</v>
      </c>
      <c r="H9" t="s">
        <v>850</v>
      </c>
      <c r="I9" t="s">
        <v>944</v>
      </c>
      <c r="J9" t="s">
        <v>944</v>
      </c>
      <c r="K9" s="1">
        <v>26401</v>
      </c>
      <c r="L9" s="15">
        <f t="shared" si="0"/>
        <v>53</v>
      </c>
      <c r="M9" t="s">
        <v>59</v>
      </c>
      <c r="N9" t="s">
        <v>89</v>
      </c>
      <c r="O9" t="s">
        <v>60</v>
      </c>
      <c r="P9" t="s">
        <v>61</v>
      </c>
      <c r="Q9" t="s">
        <v>61</v>
      </c>
      <c r="R9" t="s">
        <v>129</v>
      </c>
      <c r="S9" t="s">
        <v>61</v>
      </c>
      <c r="T9" t="s">
        <v>932</v>
      </c>
      <c r="U9" t="s">
        <v>61</v>
      </c>
      <c r="V9" t="s">
        <v>1728</v>
      </c>
      <c r="W9" t="s">
        <v>1734</v>
      </c>
      <c r="X9" t="s">
        <v>1723</v>
      </c>
      <c r="Y9" t="s">
        <v>1724</v>
      </c>
      <c r="Z9" t="s">
        <v>66</v>
      </c>
      <c r="AA9" t="s">
        <v>66</v>
      </c>
      <c r="AB9" t="s">
        <v>61</v>
      </c>
      <c r="AC9" t="s">
        <v>945</v>
      </c>
      <c r="AD9">
        <v>1</v>
      </c>
      <c r="AE9">
        <v>1</v>
      </c>
      <c r="AF9" t="s">
        <v>63</v>
      </c>
      <c r="AG9" t="s">
        <v>66</v>
      </c>
      <c r="AH9" t="s">
        <v>63</v>
      </c>
      <c r="AI9" t="s">
        <v>66</v>
      </c>
      <c r="AJ9" t="s">
        <v>61</v>
      </c>
      <c r="AK9" t="s">
        <v>66</v>
      </c>
      <c r="AL9" t="s">
        <v>61</v>
      </c>
      <c r="AM9" t="s">
        <v>66</v>
      </c>
      <c r="AN9">
        <v>0</v>
      </c>
      <c r="AO9" t="s">
        <v>66</v>
      </c>
      <c r="AP9" t="s">
        <v>946</v>
      </c>
      <c r="AQ9" t="s">
        <v>947</v>
      </c>
      <c r="AR9" t="s">
        <v>63</v>
      </c>
      <c r="AS9" t="s">
        <v>63</v>
      </c>
      <c r="AT9" t="s">
        <v>61</v>
      </c>
      <c r="AU9">
        <v>6</v>
      </c>
      <c r="AV9" t="s">
        <v>66</v>
      </c>
      <c r="AW9" t="s">
        <v>66</v>
      </c>
      <c r="AX9" t="s">
        <v>66</v>
      </c>
      <c r="AY9" t="s">
        <v>66</v>
      </c>
      <c r="AZ9" t="s">
        <v>66</v>
      </c>
      <c r="BA9" t="s">
        <v>66</v>
      </c>
      <c r="BB9">
        <v>96</v>
      </c>
      <c r="BC9" t="s">
        <v>70</v>
      </c>
      <c r="BD9">
        <v>3</v>
      </c>
      <c r="BE9" t="s">
        <v>553</v>
      </c>
      <c r="BF9" t="s">
        <v>104</v>
      </c>
      <c r="BG9" t="s">
        <v>71</v>
      </c>
      <c r="BH9" t="s">
        <v>63</v>
      </c>
      <c r="BI9" t="s">
        <v>554</v>
      </c>
      <c r="BJ9">
        <v>5</v>
      </c>
      <c r="BK9" t="s">
        <v>948</v>
      </c>
      <c r="BL9">
        <v>30</v>
      </c>
      <c r="BM9" t="s">
        <v>73</v>
      </c>
      <c r="BN9">
        <v>10</v>
      </c>
      <c r="BO9" t="s">
        <v>686</v>
      </c>
      <c r="BP9" t="s">
        <v>502</v>
      </c>
      <c r="BQ9" t="s">
        <v>78</v>
      </c>
      <c r="BR9" t="s">
        <v>949</v>
      </c>
      <c r="BS9" t="s">
        <v>950</v>
      </c>
      <c r="BT9">
        <v>4</v>
      </c>
      <c r="BU9" t="s">
        <v>553</v>
      </c>
      <c r="BV9" t="s">
        <v>104</v>
      </c>
      <c r="BW9" t="s">
        <v>951</v>
      </c>
      <c r="BX9" t="s">
        <v>952</v>
      </c>
      <c r="BY9" t="s">
        <v>499</v>
      </c>
      <c r="BZ9">
        <v>5</v>
      </c>
      <c r="CA9" t="s">
        <v>953</v>
      </c>
      <c r="CB9" s="3" t="s">
        <v>83</v>
      </c>
      <c r="CC9" s="3" t="s">
        <v>142</v>
      </c>
      <c r="CD9" t="s">
        <v>227</v>
      </c>
      <c r="CE9" t="s">
        <v>493</v>
      </c>
      <c r="CF9" t="s">
        <v>567</v>
      </c>
      <c r="CG9" t="s">
        <v>78</v>
      </c>
      <c r="CH9" s="3" t="s">
        <v>954</v>
      </c>
      <c r="CI9" t="s">
        <v>63</v>
      </c>
      <c r="CJ9" s="3" t="s">
        <v>66</v>
      </c>
      <c r="CK9" s="3" t="s">
        <v>66</v>
      </c>
      <c r="CL9" s="3" t="s">
        <v>66</v>
      </c>
      <c r="CM9" s="3" t="s">
        <v>66</v>
      </c>
      <c r="CN9" s="3" t="s">
        <v>66</v>
      </c>
      <c r="CO9" s="3" t="s">
        <v>66</v>
      </c>
      <c r="CP9" s="3" t="s">
        <v>66</v>
      </c>
      <c r="CQ9" s="3" t="s">
        <v>66</v>
      </c>
      <c r="CR9" s="3" t="s">
        <v>66</v>
      </c>
      <c r="CS9" s="3" t="s">
        <v>66</v>
      </c>
      <c r="CT9" s="3" t="s">
        <v>66</v>
      </c>
      <c r="CU9" s="3" t="s">
        <v>66</v>
      </c>
      <c r="CV9" s="3" t="s">
        <v>955</v>
      </c>
    </row>
    <row r="10" spans="1:100" x14ac:dyDescent="0.25">
      <c r="A10" t="s">
        <v>956</v>
      </c>
      <c r="B10" t="s">
        <v>769</v>
      </c>
      <c r="C10" s="1">
        <v>45776</v>
      </c>
      <c r="D10" t="s">
        <v>957</v>
      </c>
      <c r="E10">
        <v>42663035</v>
      </c>
      <c r="F10">
        <v>25</v>
      </c>
      <c r="G10">
        <v>20</v>
      </c>
      <c r="H10" t="s">
        <v>850</v>
      </c>
      <c r="I10" t="s">
        <v>850</v>
      </c>
      <c r="J10" t="s">
        <v>850</v>
      </c>
      <c r="K10" s="1">
        <v>30907</v>
      </c>
      <c r="L10" s="15">
        <f t="shared" si="0"/>
        <v>41</v>
      </c>
      <c r="M10" t="s">
        <v>59</v>
      </c>
      <c r="N10" t="s">
        <v>89</v>
      </c>
      <c r="O10" t="s">
        <v>60</v>
      </c>
      <c r="P10" t="s">
        <v>61</v>
      </c>
      <c r="Q10" t="s">
        <v>61</v>
      </c>
      <c r="R10" t="s">
        <v>62</v>
      </c>
      <c r="S10" t="s">
        <v>61</v>
      </c>
      <c r="T10" t="s">
        <v>854</v>
      </c>
      <c r="U10" t="s">
        <v>61</v>
      </c>
      <c r="V10" t="s">
        <v>1723</v>
      </c>
      <c r="W10" t="s">
        <v>1724</v>
      </c>
      <c r="X10" t="s">
        <v>1543</v>
      </c>
      <c r="Y10" t="s">
        <v>1722</v>
      </c>
      <c r="Z10" t="s">
        <v>66</v>
      </c>
      <c r="AA10" t="s">
        <v>66</v>
      </c>
      <c r="AB10" t="s">
        <v>63</v>
      </c>
      <c r="AC10" t="s">
        <v>66</v>
      </c>
      <c r="AD10">
        <v>2</v>
      </c>
      <c r="AE10">
        <v>2</v>
      </c>
      <c r="AF10" t="s">
        <v>63</v>
      </c>
      <c r="AG10" t="s">
        <v>66</v>
      </c>
      <c r="AH10" t="s">
        <v>63</v>
      </c>
      <c r="AI10" t="s">
        <v>66</v>
      </c>
      <c r="AJ10" t="s">
        <v>61</v>
      </c>
      <c r="AK10" t="s">
        <v>66</v>
      </c>
      <c r="AL10" t="s">
        <v>63</v>
      </c>
      <c r="AM10" t="s">
        <v>958</v>
      </c>
      <c r="AN10">
        <v>1</v>
      </c>
      <c r="AO10" t="s">
        <v>61</v>
      </c>
      <c r="AP10" t="s">
        <v>959</v>
      </c>
      <c r="AQ10" t="s">
        <v>960</v>
      </c>
      <c r="AR10" t="s">
        <v>63</v>
      </c>
      <c r="AS10" t="s">
        <v>61</v>
      </c>
      <c r="AT10" t="s">
        <v>61</v>
      </c>
      <c r="AU10">
        <v>4.5</v>
      </c>
      <c r="AV10" t="s">
        <v>66</v>
      </c>
      <c r="AW10" t="s">
        <v>66</v>
      </c>
      <c r="AX10" t="s">
        <v>66</v>
      </c>
      <c r="AY10" t="s">
        <v>66</v>
      </c>
      <c r="AZ10" t="s">
        <v>66</v>
      </c>
      <c r="BA10" t="s">
        <v>66</v>
      </c>
      <c r="BB10" t="s">
        <v>961</v>
      </c>
      <c r="BC10" t="s">
        <v>70</v>
      </c>
      <c r="BD10">
        <v>3</v>
      </c>
      <c r="BE10" t="s">
        <v>962</v>
      </c>
      <c r="BF10" t="s">
        <v>104</v>
      </c>
      <c r="BG10" t="s">
        <v>71</v>
      </c>
      <c r="BH10" t="s">
        <v>63</v>
      </c>
      <c r="BI10" t="s">
        <v>554</v>
      </c>
      <c r="BJ10" s="3">
        <v>4</v>
      </c>
      <c r="BK10" t="s">
        <v>963</v>
      </c>
      <c r="BL10" t="s">
        <v>376</v>
      </c>
      <c r="BM10" t="s">
        <v>964</v>
      </c>
      <c r="BN10">
        <v>7</v>
      </c>
      <c r="BO10">
        <v>200</v>
      </c>
      <c r="BP10" t="s">
        <v>797</v>
      </c>
      <c r="BQ10" t="s">
        <v>78</v>
      </c>
      <c r="BR10" t="s">
        <v>162</v>
      </c>
      <c r="BS10" t="s">
        <v>894</v>
      </c>
      <c r="BT10">
        <v>4</v>
      </c>
      <c r="BU10" t="s">
        <v>962</v>
      </c>
      <c r="BV10" t="s">
        <v>104</v>
      </c>
      <c r="BW10" t="s">
        <v>163</v>
      </c>
      <c r="BX10" t="s">
        <v>63</v>
      </c>
      <c r="BY10" t="s">
        <v>895</v>
      </c>
      <c r="BZ10" t="s">
        <v>965</v>
      </c>
      <c r="CA10" t="s">
        <v>66</v>
      </c>
      <c r="CB10" s="3" t="s">
        <v>373</v>
      </c>
      <c r="CC10" t="s">
        <v>66</v>
      </c>
      <c r="CD10" t="s">
        <v>66</v>
      </c>
      <c r="CE10" t="s">
        <v>66</v>
      </c>
      <c r="CF10">
        <v>3000</v>
      </c>
      <c r="CG10" t="s">
        <v>78</v>
      </c>
      <c r="CH10" s="3" t="s">
        <v>225</v>
      </c>
      <c r="CI10" t="s">
        <v>966</v>
      </c>
      <c r="CJ10" s="3" t="s">
        <v>96</v>
      </c>
      <c r="CK10" s="3" t="s">
        <v>63</v>
      </c>
      <c r="CL10" s="3" t="s">
        <v>895</v>
      </c>
      <c r="CM10" s="3" t="s">
        <v>928</v>
      </c>
      <c r="CN10" t="s">
        <v>967</v>
      </c>
      <c r="CO10" s="17" t="s">
        <v>488</v>
      </c>
      <c r="CP10" t="s">
        <v>968</v>
      </c>
      <c r="CQ10" s="3" t="s">
        <v>969</v>
      </c>
      <c r="CR10">
        <v>500</v>
      </c>
      <c r="CS10" s="3" t="s">
        <v>567</v>
      </c>
      <c r="CT10" s="3" t="s">
        <v>970</v>
      </c>
      <c r="CU10" s="3" t="s">
        <v>602</v>
      </c>
      <c r="CV10" s="3" t="s">
        <v>971</v>
      </c>
    </row>
    <row r="11" spans="1:100" x14ac:dyDescent="0.25">
      <c r="A11" t="s">
        <v>972</v>
      </c>
      <c r="B11" t="s">
        <v>769</v>
      </c>
      <c r="C11" s="1">
        <v>45777</v>
      </c>
      <c r="D11" t="s">
        <v>973</v>
      </c>
      <c r="E11">
        <v>22285772</v>
      </c>
      <c r="F11">
        <v>55</v>
      </c>
      <c r="G11">
        <v>50</v>
      </c>
      <c r="H11" t="s">
        <v>850</v>
      </c>
      <c r="I11" t="s">
        <v>850</v>
      </c>
      <c r="J11" t="s">
        <v>850</v>
      </c>
      <c r="K11" s="1">
        <v>21275</v>
      </c>
      <c r="L11" s="15">
        <f t="shared" si="0"/>
        <v>67</v>
      </c>
      <c r="M11" t="s">
        <v>59</v>
      </c>
      <c r="N11" t="s">
        <v>108</v>
      </c>
      <c r="O11" t="s">
        <v>60</v>
      </c>
      <c r="P11" t="s">
        <v>61</v>
      </c>
      <c r="Q11" t="s">
        <v>63</v>
      </c>
      <c r="R11" t="s">
        <v>62</v>
      </c>
      <c r="S11" t="s">
        <v>61</v>
      </c>
      <c r="T11" t="s">
        <v>974</v>
      </c>
      <c r="U11" t="s">
        <v>61</v>
      </c>
      <c r="V11" t="s">
        <v>1748</v>
      </c>
      <c r="W11" t="s">
        <v>1735</v>
      </c>
      <c r="X11" t="s">
        <v>66</v>
      </c>
      <c r="Y11" t="s">
        <v>66</v>
      </c>
      <c r="Z11" t="s">
        <v>66</v>
      </c>
      <c r="AA11" t="s">
        <v>66</v>
      </c>
      <c r="AB11" t="s">
        <v>61</v>
      </c>
      <c r="AC11" t="s">
        <v>975</v>
      </c>
      <c r="AD11">
        <v>0</v>
      </c>
      <c r="AE11">
        <v>5</v>
      </c>
      <c r="AF11" t="s">
        <v>61</v>
      </c>
      <c r="AG11" t="s">
        <v>976</v>
      </c>
      <c r="AH11" t="s">
        <v>63</v>
      </c>
      <c r="AI11" t="s">
        <v>66</v>
      </c>
      <c r="AJ11" t="s">
        <v>61</v>
      </c>
      <c r="AK11" t="s">
        <v>66</v>
      </c>
      <c r="AL11" t="s">
        <v>61</v>
      </c>
      <c r="AM11" t="s">
        <v>66</v>
      </c>
      <c r="AN11">
        <v>2</v>
      </c>
      <c r="AO11" t="s">
        <v>61</v>
      </c>
      <c r="AP11" t="s">
        <v>977</v>
      </c>
      <c r="AQ11" t="s">
        <v>978</v>
      </c>
      <c r="AR11" t="s">
        <v>63</v>
      </c>
      <c r="AS11" t="s">
        <v>63</v>
      </c>
      <c r="AT11" t="s">
        <v>61</v>
      </c>
      <c r="AU11">
        <v>15</v>
      </c>
      <c r="AV11" t="s">
        <v>66</v>
      </c>
      <c r="AW11" t="s">
        <v>66</v>
      </c>
      <c r="AX11" t="s">
        <v>66</v>
      </c>
      <c r="AY11" t="s">
        <v>66</v>
      </c>
      <c r="AZ11" t="s">
        <v>66</v>
      </c>
      <c r="BA11" t="s">
        <v>66</v>
      </c>
      <c r="BB11">
        <v>240</v>
      </c>
      <c r="BC11" t="s">
        <v>341</v>
      </c>
      <c r="BD11">
        <v>4</v>
      </c>
      <c r="BE11" t="s">
        <v>979</v>
      </c>
      <c r="BF11" t="s">
        <v>104</v>
      </c>
      <c r="BG11" t="s">
        <v>96</v>
      </c>
      <c r="BH11" t="s">
        <v>63</v>
      </c>
      <c r="BI11" t="s">
        <v>499</v>
      </c>
      <c r="BJ11" s="3" t="s">
        <v>222</v>
      </c>
      <c r="BK11" t="s">
        <v>980</v>
      </c>
      <c r="BL11" s="3" t="s">
        <v>142</v>
      </c>
      <c r="BM11" s="3" t="s">
        <v>225</v>
      </c>
      <c r="BN11" s="3" t="s">
        <v>408</v>
      </c>
      <c r="BO11" t="s">
        <v>376</v>
      </c>
      <c r="BP11" s="3" t="s">
        <v>981</v>
      </c>
      <c r="BQ11" t="s">
        <v>78</v>
      </c>
      <c r="BR11" s="3" t="s">
        <v>263</v>
      </c>
      <c r="BS11" t="s">
        <v>950</v>
      </c>
      <c r="BT11">
        <v>7</v>
      </c>
      <c r="BU11" t="s">
        <v>979</v>
      </c>
      <c r="BV11" t="s">
        <v>104</v>
      </c>
      <c r="BW11" t="s">
        <v>79</v>
      </c>
      <c r="BX11" t="s">
        <v>982</v>
      </c>
      <c r="BY11" t="s">
        <v>499</v>
      </c>
      <c r="BZ11" s="3" t="s">
        <v>80</v>
      </c>
      <c r="CA11" t="s">
        <v>983</v>
      </c>
      <c r="CB11" s="3" t="s">
        <v>984</v>
      </c>
      <c r="CC11" s="3" t="s">
        <v>225</v>
      </c>
      <c r="CD11" s="3" t="s">
        <v>796</v>
      </c>
      <c r="CE11" s="3" t="s">
        <v>985</v>
      </c>
      <c r="CF11" t="s">
        <v>236</v>
      </c>
      <c r="CG11" t="s">
        <v>78</v>
      </c>
      <c r="CH11" s="3" t="s">
        <v>258</v>
      </c>
      <c r="CI11" t="s">
        <v>986</v>
      </c>
      <c r="CJ11" t="s">
        <v>71</v>
      </c>
      <c r="CK11" t="s">
        <v>63</v>
      </c>
      <c r="CL11" t="s">
        <v>554</v>
      </c>
      <c r="CM11">
        <v>3</v>
      </c>
      <c r="CN11" t="s">
        <v>987</v>
      </c>
      <c r="CO11" s="3" t="s">
        <v>988</v>
      </c>
      <c r="CP11">
        <v>72</v>
      </c>
      <c r="CQ11" s="3" t="s">
        <v>748</v>
      </c>
      <c r="CR11" t="s">
        <v>927</v>
      </c>
      <c r="CS11" s="3" t="s">
        <v>345</v>
      </c>
      <c r="CT11" t="s">
        <v>78</v>
      </c>
      <c r="CU11" s="3" t="s">
        <v>989</v>
      </c>
      <c r="CV11" t="s">
        <v>990</v>
      </c>
    </row>
    <row r="12" spans="1:100" x14ac:dyDescent="0.25">
      <c r="A12" t="s">
        <v>991</v>
      </c>
      <c r="B12" t="s">
        <v>769</v>
      </c>
      <c r="C12" s="1">
        <v>45777</v>
      </c>
      <c r="D12" t="s">
        <v>992</v>
      </c>
      <c r="E12">
        <v>43754263</v>
      </c>
      <c r="F12">
        <v>11</v>
      </c>
      <c r="G12">
        <v>11</v>
      </c>
      <c r="H12" t="s">
        <v>850</v>
      </c>
      <c r="I12" t="s">
        <v>850</v>
      </c>
      <c r="J12" t="s">
        <v>850</v>
      </c>
      <c r="K12" s="1">
        <v>31684</v>
      </c>
      <c r="L12" s="15">
        <f t="shared" si="0"/>
        <v>38</v>
      </c>
      <c r="M12" t="s">
        <v>59</v>
      </c>
      <c r="N12" t="s">
        <v>108</v>
      </c>
      <c r="O12" t="s">
        <v>60</v>
      </c>
      <c r="P12" t="s">
        <v>61</v>
      </c>
      <c r="Q12" t="s">
        <v>61</v>
      </c>
      <c r="R12" t="s">
        <v>62</v>
      </c>
      <c r="S12" t="s">
        <v>61</v>
      </c>
      <c r="T12" t="s">
        <v>854</v>
      </c>
      <c r="U12" t="s">
        <v>61</v>
      </c>
      <c r="V12" t="s">
        <v>1728</v>
      </c>
      <c r="W12" t="s">
        <v>1735</v>
      </c>
      <c r="X12" t="s">
        <v>1543</v>
      </c>
      <c r="Y12" t="s">
        <v>1722</v>
      </c>
      <c r="Z12" t="s">
        <v>66</v>
      </c>
      <c r="AA12" t="s">
        <v>66</v>
      </c>
      <c r="AB12" t="s">
        <v>61</v>
      </c>
      <c r="AC12" t="s">
        <v>855</v>
      </c>
      <c r="AD12">
        <v>3</v>
      </c>
      <c r="AE12">
        <v>2</v>
      </c>
      <c r="AF12" t="s">
        <v>61</v>
      </c>
      <c r="AG12" t="s">
        <v>132</v>
      </c>
      <c r="AH12" t="s">
        <v>63</v>
      </c>
      <c r="AI12" t="s">
        <v>66</v>
      </c>
      <c r="AJ12" t="s">
        <v>61</v>
      </c>
      <c r="AK12" t="s">
        <v>66</v>
      </c>
      <c r="AL12" t="s">
        <v>61</v>
      </c>
      <c r="AM12" t="s">
        <v>66</v>
      </c>
      <c r="AN12">
        <v>1</v>
      </c>
      <c r="AO12" t="s">
        <v>61</v>
      </c>
      <c r="AP12" t="s">
        <v>993</v>
      </c>
      <c r="AQ12" t="s">
        <v>994</v>
      </c>
      <c r="AR12" t="s">
        <v>63</v>
      </c>
      <c r="AS12" t="s">
        <v>61</v>
      </c>
      <c r="AT12" t="s">
        <v>61</v>
      </c>
      <c r="AU12">
        <v>8</v>
      </c>
      <c r="AV12" t="s">
        <v>66</v>
      </c>
      <c r="AW12" t="s">
        <v>66</v>
      </c>
      <c r="AX12" t="s">
        <v>66</v>
      </c>
      <c r="AY12" t="s">
        <v>66</v>
      </c>
      <c r="AZ12" t="s">
        <v>66</v>
      </c>
      <c r="BA12" t="s">
        <v>66</v>
      </c>
      <c r="BB12" t="s">
        <v>995</v>
      </c>
      <c r="BC12" t="s">
        <v>70</v>
      </c>
      <c r="BD12">
        <v>3</v>
      </c>
      <c r="BE12" t="s">
        <v>996</v>
      </c>
      <c r="BF12" t="s">
        <v>104</v>
      </c>
      <c r="BG12" t="s">
        <v>71</v>
      </c>
      <c r="BH12" t="s">
        <v>63</v>
      </c>
      <c r="BI12" t="s">
        <v>254</v>
      </c>
      <c r="BJ12" s="3" t="s">
        <v>225</v>
      </c>
      <c r="BK12" t="s">
        <v>997</v>
      </c>
      <c r="BL12" s="3" t="s">
        <v>998</v>
      </c>
      <c r="BM12" t="s">
        <v>73</v>
      </c>
      <c r="BN12" s="3" t="s">
        <v>408</v>
      </c>
      <c r="BO12" t="s">
        <v>999</v>
      </c>
      <c r="BP12" s="3" t="s">
        <v>622</v>
      </c>
      <c r="BQ12" t="s">
        <v>78</v>
      </c>
      <c r="BR12" s="3" t="s">
        <v>1000</v>
      </c>
      <c r="BS12" t="s">
        <v>63</v>
      </c>
      <c r="BT12" s="3" t="s">
        <v>66</v>
      </c>
      <c r="BU12" s="3" t="s">
        <v>66</v>
      </c>
      <c r="BV12" s="3" t="s">
        <v>66</v>
      </c>
      <c r="BW12" s="3" t="s">
        <v>66</v>
      </c>
      <c r="BX12" s="3" t="s">
        <v>66</v>
      </c>
      <c r="BY12" s="3" t="s">
        <v>66</v>
      </c>
      <c r="BZ12" s="3" t="s">
        <v>66</v>
      </c>
      <c r="CA12" s="3" t="s">
        <v>66</v>
      </c>
      <c r="CB12" s="3" t="s">
        <v>66</v>
      </c>
      <c r="CC12" s="3" t="s">
        <v>66</v>
      </c>
      <c r="CD12" s="3" t="s">
        <v>66</v>
      </c>
      <c r="CE12" s="3" t="s">
        <v>66</v>
      </c>
      <c r="CF12" s="3" t="s">
        <v>66</v>
      </c>
      <c r="CG12" s="3" t="s">
        <v>66</v>
      </c>
      <c r="CH12" s="3" t="s">
        <v>66</v>
      </c>
      <c r="CI12" s="3" t="s">
        <v>63</v>
      </c>
      <c r="CJ12" s="3" t="s">
        <v>66</v>
      </c>
      <c r="CK12" s="3" t="s">
        <v>66</v>
      </c>
      <c r="CL12" s="3" t="s">
        <v>66</v>
      </c>
      <c r="CM12" s="3" t="s">
        <v>66</v>
      </c>
      <c r="CN12" s="3" t="s">
        <v>66</v>
      </c>
      <c r="CO12" s="3" t="s">
        <v>66</v>
      </c>
      <c r="CP12" s="3" t="s">
        <v>66</v>
      </c>
      <c r="CQ12" s="3" t="s">
        <v>66</v>
      </c>
      <c r="CR12" s="3" t="s">
        <v>66</v>
      </c>
      <c r="CS12" s="3" t="s">
        <v>66</v>
      </c>
      <c r="CT12" s="3" t="s">
        <v>66</v>
      </c>
      <c r="CU12" s="3" t="s">
        <v>66</v>
      </c>
      <c r="CV12" s="3" t="s">
        <v>1001</v>
      </c>
    </row>
    <row r="13" spans="1:100" x14ac:dyDescent="0.25">
      <c r="A13" t="s">
        <v>1002</v>
      </c>
      <c r="B13" t="s">
        <v>769</v>
      </c>
      <c r="C13" s="1">
        <v>45804</v>
      </c>
      <c r="D13" t="s">
        <v>1003</v>
      </c>
      <c r="E13">
        <v>43052807</v>
      </c>
      <c r="F13">
        <v>26</v>
      </c>
      <c r="G13">
        <v>20</v>
      </c>
      <c r="H13" t="s">
        <v>850</v>
      </c>
      <c r="I13" t="s">
        <v>850</v>
      </c>
      <c r="J13" t="s">
        <v>850</v>
      </c>
      <c r="K13" s="1">
        <v>31178</v>
      </c>
      <c r="L13" s="15">
        <f t="shared" si="0"/>
        <v>40</v>
      </c>
      <c r="M13" t="s">
        <v>59</v>
      </c>
      <c r="N13" t="s">
        <v>108</v>
      </c>
      <c r="O13" t="s">
        <v>90</v>
      </c>
      <c r="P13" t="s">
        <v>61</v>
      </c>
      <c r="Q13" t="s">
        <v>63</v>
      </c>
      <c r="R13" t="s">
        <v>62</v>
      </c>
      <c r="S13" t="s">
        <v>61</v>
      </c>
      <c r="T13" t="s">
        <v>932</v>
      </c>
      <c r="U13" t="s">
        <v>61</v>
      </c>
      <c r="V13" t="s">
        <v>1723</v>
      </c>
      <c r="W13" t="s">
        <v>1736</v>
      </c>
      <c r="X13" t="s">
        <v>66</v>
      </c>
      <c r="Y13" t="s">
        <v>66</v>
      </c>
      <c r="Z13" t="s">
        <v>66</v>
      </c>
      <c r="AA13" t="s">
        <v>66</v>
      </c>
      <c r="AB13" t="s">
        <v>63</v>
      </c>
      <c r="AC13" t="s">
        <v>66</v>
      </c>
      <c r="AD13">
        <v>0</v>
      </c>
      <c r="AE13">
        <v>0</v>
      </c>
      <c r="AF13" t="s">
        <v>61</v>
      </c>
      <c r="AG13" t="s">
        <v>1004</v>
      </c>
      <c r="AH13" t="s">
        <v>61</v>
      </c>
      <c r="AI13" t="s">
        <v>1005</v>
      </c>
      <c r="AJ13" t="s">
        <v>61</v>
      </c>
      <c r="AK13" t="s">
        <v>66</v>
      </c>
      <c r="AL13" t="s">
        <v>63</v>
      </c>
      <c r="AM13" t="s">
        <v>1006</v>
      </c>
      <c r="AN13">
        <v>1</v>
      </c>
      <c r="AO13" t="s">
        <v>61</v>
      </c>
      <c r="AP13" t="s">
        <v>1007</v>
      </c>
      <c r="AQ13" t="s">
        <v>1008</v>
      </c>
      <c r="AR13" t="s">
        <v>63</v>
      </c>
      <c r="AS13" t="s">
        <v>63</v>
      </c>
      <c r="AT13" t="s">
        <v>61</v>
      </c>
      <c r="AU13">
        <v>13</v>
      </c>
      <c r="AV13" t="s">
        <v>1009</v>
      </c>
      <c r="AW13" t="s">
        <v>1010</v>
      </c>
      <c r="AX13" t="s">
        <v>63</v>
      </c>
      <c r="AY13" t="s">
        <v>63</v>
      </c>
      <c r="AZ13" t="s">
        <v>61</v>
      </c>
      <c r="BA13">
        <v>8</v>
      </c>
      <c r="BB13">
        <v>208</v>
      </c>
      <c r="BC13" t="s">
        <v>70</v>
      </c>
      <c r="BD13">
        <v>4</v>
      </c>
      <c r="BE13" t="s">
        <v>1011</v>
      </c>
      <c r="BF13" t="s">
        <v>104</v>
      </c>
      <c r="BG13" t="s">
        <v>71</v>
      </c>
      <c r="BH13" t="s">
        <v>63</v>
      </c>
      <c r="BI13" t="s">
        <v>257</v>
      </c>
      <c r="BJ13" s="3">
        <v>4</v>
      </c>
      <c r="BK13" t="s">
        <v>860</v>
      </c>
      <c r="BL13" t="s">
        <v>136</v>
      </c>
      <c r="BM13" t="s">
        <v>73</v>
      </c>
      <c r="BN13">
        <v>10</v>
      </c>
      <c r="BO13" t="s">
        <v>1012</v>
      </c>
      <c r="BP13" t="s">
        <v>1013</v>
      </c>
      <c r="BQ13" t="s">
        <v>78</v>
      </c>
      <c r="BR13" t="s">
        <v>1000</v>
      </c>
      <c r="BS13" t="s">
        <v>107</v>
      </c>
      <c r="BT13">
        <v>4</v>
      </c>
      <c r="BU13" t="s">
        <v>1011</v>
      </c>
      <c r="BV13" t="s">
        <v>104</v>
      </c>
      <c r="BW13" t="s">
        <v>96</v>
      </c>
      <c r="BX13" t="s">
        <v>63</v>
      </c>
      <c r="BY13" s="3" t="s">
        <v>1014</v>
      </c>
      <c r="BZ13" t="s">
        <v>1015</v>
      </c>
      <c r="CA13" t="s">
        <v>1016</v>
      </c>
      <c r="CB13" s="3" t="s">
        <v>467</v>
      </c>
      <c r="CC13" s="3" t="s">
        <v>968</v>
      </c>
      <c r="CD13" s="3" t="s">
        <v>660</v>
      </c>
      <c r="CE13" s="3" t="s">
        <v>411</v>
      </c>
      <c r="CF13" s="3" t="s">
        <v>1017</v>
      </c>
      <c r="CG13" s="3" t="s">
        <v>78</v>
      </c>
      <c r="CH13" s="3" t="s">
        <v>677</v>
      </c>
      <c r="CI13" s="3" t="s">
        <v>341</v>
      </c>
      <c r="CJ13" s="3" t="s">
        <v>1018</v>
      </c>
      <c r="CK13" s="3" t="s">
        <v>63</v>
      </c>
      <c r="CL13" s="3" t="s">
        <v>895</v>
      </c>
      <c r="CM13" s="3" t="s">
        <v>1019</v>
      </c>
      <c r="CN13" s="3" t="s">
        <v>1020</v>
      </c>
      <c r="CO13" s="3" t="s">
        <v>373</v>
      </c>
      <c r="CP13" s="3" t="s">
        <v>142</v>
      </c>
      <c r="CQ13" s="3" t="s">
        <v>77</v>
      </c>
      <c r="CR13" s="3" t="s">
        <v>1021</v>
      </c>
      <c r="CS13" s="3" t="s">
        <v>1022</v>
      </c>
      <c r="CT13" s="3" t="s">
        <v>78</v>
      </c>
      <c r="CU13" s="3" t="s">
        <v>1023</v>
      </c>
      <c r="CV13" s="3" t="s">
        <v>1024</v>
      </c>
    </row>
    <row r="14" spans="1:100" x14ac:dyDescent="0.25">
      <c r="A14" t="s">
        <v>1025</v>
      </c>
      <c r="B14" t="s">
        <v>769</v>
      </c>
      <c r="C14" s="1">
        <v>45804</v>
      </c>
      <c r="D14" t="s">
        <v>1026</v>
      </c>
      <c r="E14">
        <v>22284452</v>
      </c>
      <c r="F14">
        <v>44</v>
      </c>
      <c r="G14">
        <v>44</v>
      </c>
      <c r="H14" t="s">
        <v>850</v>
      </c>
      <c r="I14" t="s">
        <v>850</v>
      </c>
      <c r="J14" t="s">
        <v>850</v>
      </c>
      <c r="K14" s="1">
        <v>22212</v>
      </c>
      <c r="L14" s="15">
        <f t="shared" si="0"/>
        <v>64</v>
      </c>
      <c r="M14" t="s">
        <v>59</v>
      </c>
      <c r="N14" t="s">
        <v>108</v>
      </c>
      <c r="O14" t="s">
        <v>322</v>
      </c>
      <c r="P14" t="s">
        <v>61</v>
      </c>
      <c r="Q14" t="s">
        <v>61</v>
      </c>
      <c r="R14" t="s">
        <v>62</v>
      </c>
      <c r="S14" t="s">
        <v>61</v>
      </c>
      <c r="T14" t="s">
        <v>1027</v>
      </c>
      <c r="U14" t="s">
        <v>61</v>
      </c>
      <c r="V14" t="s">
        <v>1723</v>
      </c>
      <c r="W14" t="s">
        <v>1724</v>
      </c>
      <c r="X14" t="s">
        <v>66</v>
      </c>
      <c r="Y14" t="s">
        <v>66</v>
      </c>
      <c r="Z14" t="s">
        <v>66</v>
      </c>
      <c r="AA14" t="s">
        <v>66</v>
      </c>
      <c r="AB14" t="s">
        <v>63</v>
      </c>
      <c r="AC14" t="s">
        <v>66</v>
      </c>
      <c r="AD14">
        <v>1</v>
      </c>
      <c r="AE14">
        <v>6</v>
      </c>
      <c r="AF14" t="s">
        <v>61</v>
      </c>
      <c r="AG14" t="s">
        <v>132</v>
      </c>
      <c r="AH14" t="s">
        <v>61</v>
      </c>
      <c r="AI14" t="s">
        <v>1028</v>
      </c>
      <c r="AJ14" t="s">
        <v>61</v>
      </c>
      <c r="AK14" t="s">
        <v>66</v>
      </c>
      <c r="AL14" t="s">
        <v>61</v>
      </c>
      <c r="AM14" t="s">
        <v>66</v>
      </c>
      <c r="AN14">
        <v>1</v>
      </c>
      <c r="AO14" t="s">
        <v>61</v>
      </c>
      <c r="AP14" t="s">
        <v>1029</v>
      </c>
      <c r="AQ14" t="s">
        <v>1030</v>
      </c>
      <c r="AR14" t="s">
        <v>63</v>
      </c>
      <c r="AS14" t="s">
        <v>63</v>
      </c>
      <c r="AT14" t="s">
        <v>61</v>
      </c>
      <c r="AU14">
        <v>6</v>
      </c>
      <c r="AV14" t="s">
        <v>66</v>
      </c>
      <c r="AW14" t="s">
        <v>66</v>
      </c>
      <c r="AX14" t="s">
        <v>66</v>
      </c>
      <c r="AY14" t="s">
        <v>66</v>
      </c>
      <c r="AZ14" t="s">
        <v>66</v>
      </c>
      <c r="BA14" t="s">
        <v>66</v>
      </c>
      <c r="BB14">
        <v>272</v>
      </c>
      <c r="BC14" t="s">
        <v>70</v>
      </c>
      <c r="BD14">
        <v>3</v>
      </c>
      <c r="BE14" t="s">
        <v>1031</v>
      </c>
      <c r="BF14" t="s">
        <v>881</v>
      </c>
      <c r="BG14" t="s">
        <v>71</v>
      </c>
      <c r="BH14" t="s">
        <v>63</v>
      </c>
      <c r="BI14" t="s">
        <v>554</v>
      </c>
      <c r="BJ14" s="3" t="s">
        <v>77</v>
      </c>
      <c r="BK14" t="s">
        <v>1032</v>
      </c>
      <c r="BL14" t="s">
        <v>83</v>
      </c>
      <c r="BM14" s="3" t="s">
        <v>882</v>
      </c>
      <c r="BN14" s="3" t="s">
        <v>467</v>
      </c>
      <c r="BO14" s="3" t="s">
        <v>94</v>
      </c>
      <c r="BP14" s="3" t="s">
        <v>622</v>
      </c>
      <c r="BQ14" s="3" t="s">
        <v>78</v>
      </c>
      <c r="BR14" s="3" t="s">
        <v>342</v>
      </c>
      <c r="BS14" s="3" t="s">
        <v>950</v>
      </c>
      <c r="BT14">
        <v>5</v>
      </c>
      <c r="BU14" s="3" t="s">
        <v>1031</v>
      </c>
      <c r="BV14" s="3" t="s">
        <v>881</v>
      </c>
      <c r="BW14" s="3" t="s">
        <v>79</v>
      </c>
      <c r="BX14" s="3" t="s">
        <v>1033</v>
      </c>
      <c r="BY14" s="3" t="s">
        <v>174</v>
      </c>
      <c r="BZ14">
        <v>4</v>
      </c>
      <c r="CA14" t="s">
        <v>1034</v>
      </c>
      <c r="CB14" s="3" t="s">
        <v>83</v>
      </c>
      <c r="CC14" s="3" t="s">
        <v>370</v>
      </c>
      <c r="CD14">
        <v>5</v>
      </c>
      <c r="CE14" s="3" t="s">
        <v>493</v>
      </c>
      <c r="CF14" s="3" t="s">
        <v>177</v>
      </c>
      <c r="CG14" s="3" t="s">
        <v>78</v>
      </c>
      <c r="CH14">
        <v>4</v>
      </c>
      <c r="CI14" s="3" t="s">
        <v>63</v>
      </c>
      <c r="CJ14" s="3" t="s">
        <v>66</v>
      </c>
      <c r="CK14" s="3" t="s">
        <v>66</v>
      </c>
      <c r="CL14" s="3" t="s">
        <v>66</v>
      </c>
      <c r="CM14" s="3" t="s">
        <v>66</v>
      </c>
      <c r="CN14" s="3" t="s">
        <v>66</v>
      </c>
      <c r="CO14" s="3" t="s">
        <v>66</v>
      </c>
      <c r="CP14" s="3" t="s">
        <v>66</v>
      </c>
      <c r="CQ14" s="3" t="s">
        <v>66</v>
      </c>
      <c r="CR14" s="3" t="s">
        <v>66</v>
      </c>
      <c r="CS14" s="3" t="s">
        <v>66</v>
      </c>
      <c r="CT14" s="3" t="s">
        <v>66</v>
      </c>
      <c r="CU14" s="3" t="s">
        <v>66</v>
      </c>
      <c r="CV14" s="3" t="s">
        <v>1035</v>
      </c>
    </row>
    <row r="15" spans="1:100" x14ac:dyDescent="0.25">
      <c r="A15" t="s">
        <v>1036</v>
      </c>
      <c r="B15" t="s">
        <v>769</v>
      </c>
      <c r="C15" s="1">
        <v>45805</v>
      </c>
      <c r="D15" t="s">
        <v>1037</v>
      </c>
      <c r="E15">
        <v>44939456</v>
      </c>
      <c r="F15">
        <v>24</v>
      </c>
      <c r="G15">
        <v>15</v>
      </c>
      <c r="H15" t="s">
        <v>850</v>
      </c>
      <c r="I15" t="s">
        <v>850</v>
      </c>
      <c r="J15" t="s">
        <v>850</v>
      </c>
      <c r="K15" s="1">
        <v>30258</v>
      </c>
      <c r="L15" s="15">
        <f t="shared" si="0"/>
        <v>42</v>
      </c>
      <c r="M15" t="s">
        <v>59</v>
      </c>
      <c r="N15" t="s">
        <v>108</v>
      </c>
      <c r="O15" t="s">
        <v>322</v>
      </c>
      <c r="P15" t="s">
        <v>61</v>
      </c>
      <c r="Q15" t="s">
        <v>63</v>
      </c>
      <c r="R15" t="s">
        <v>62</v>
      </c>
      <c r="S15" t="s">
        <v>61</v>
      </c>
      <c r="T15" t="s">
        <v>903</v>
      </c>
      <c r="U15" t="s">
        <v>61</v>
      </c>
      <c r="V15" t="s">
        <v>1723</v>
      </c>
      <c r="W15" t="s">
        <v>1724</v>
      </c>
      <c r="X15" t="s">
        <v>1335</v>
      </c>
      <c r="Y15" t="s">
        <v>1737</v>
      </c>
      <c r="Z15" t="s">
        <v>1728</v>
      </c>
      <c r="AA15" t="s">
        <v>1738</v>
      </c>
      <c r="AB15" t="s">
        <v>63</v>
      </c>
      <c r="AC15" t="s">
        <v>66</v>
      </c>
      <c r="AD15">
        <v>3</v>
      </c>
      <c r="AE15">
        <v>2</v>
      </c>
      <c r="AF15" t="s">
        <v>61</v>
      </c>
      <c r="AG15" t="s">
        <v>132</v>
      </c>
      <c r="AH15" t="s">
        <v>63</v>
      </c>
      <c r="AI15" t="s">
        <v>66</v>
      </c>
      <c r="AJ15" t="s">
        <v>61</v>
      </c>
      <c r="AK15" t="s">
        <v>66</v>
      </c>
      <c r="AL15" t="s">
        <v>61</v>
      </c>
      <c r="AM15" t="s">
        <v>66</v>
      </c>
      <c r="AN15">
        <v>1</v>
      </c>
      <c r="AO15" t="s">
        <v>61</v>
      </c>
      <c r="AP15" t="s">
        <v>1038</v>
      </c>
      <c r="AQ15" t="s">
        <v>1039</v>
      </c>
      <c r="AR15" t="s">
        <v>63</v>
      </c>
      <c r="AS15" t="s">
        <v>63</v>
      </c>
      <c r="AT15" t="s">
        <v>61</v>
      </c>
      <c r="AU15">
        <v>4</v>
      </c>
      <c r="AV15" t="s">
        <v>66</v>
      </c>
      <c r="AW15" t="s">
        <v>66</v>
      </c>
      <c r="AX15" t="s">
        <v>66</v>
      </c>
      <c r="AY15" t="s">
        <v>66</v>
      </c>
      <c r="AZ15" t="s">
        <v>66</v>
      </c>
      <c r="BA15" t="s">
        <v>66</v>
      </c>
      <c r="BB15">
        <v>192</v>
      </c>
      <c r="BC15" t="s">
        <v>70</v>
      </c>
      <c r="BD15" s="3" t="s">
        <v>225</v>
      </c>
      <c r="BE15" t="s">
        <v>175</v>
      </c>
      <c r="BF15" t="s">
        <v>104</v>
      </c>
      <c r="BG15" t="s">
        <v>71</v>
      </c>
      <c r="BH15" t="s">
        <v>63</v>
      </c>
      <c r="BI15" t="s">
        <v>257</v>
      </c>
      <c r="BJ15" s="3" t="s">
        <v>77</v>
      </c>
      <c r="BK15" t="s">
        <v>1040</v>
      </c>
      <c r="BL15" t="s">
        <v>234</v>
      </c>
      <c r="BM15">
        <v>72</v>
      </c>
      <c r="BN15">
        <v>6</v>
      </c>
      <c r="BO15" t="s">
        <v>891</v>
      </c>
      <c r="BP15">
        <v>700</v>
      </c>
      <c r="BQ15" t="s">
        <v>78</v>
      </c>
      <c r="BR15" s="3" t="s">
        <v>342</v>
      </c>
      <c r="BS15" t="s">
        <v>894</v>
      </c>
      <c r="BT15" s="3" t="s">
        <v>225</v>
      </c>
      <c r="BU15" t="s">
        <v>175</v>
      </c>
      <c r="BV15" t="s">
        <v>104</v>
      </c>
      <c r="BW15" t="s">
        <v>163</v>
      </c>
      <c r="BX15" t="s">
        <v>63</v>
      </c>
      <c r="BY15" s="3" t="s">
        <v>895</v>
      </c>
      <c r="BZ15" t="s">
        <v>965</v>
      </c>
      <c r="CA15" t="s">
        <v>66</v>
      </c>
      <c r="CB15">
        <v>4</v>
      </c>
      <c r="CC15" s="3" t="s">
        <v>66</v>
      </c>
      <c r="CD15" s="3" t="s">
        <v>66</v>
      </c>
      <c r="CE15" s="3" t="s">
        <v>66</v>
      </c>
      <c r="CF15">
        <v>3000</v>
      </c>
      <c r="CG15" s="3" t="s">
        <v>78</v>
      </c>
      <c r="CH15" s="3" t="s">
        <v>677</v>
      </c>
      <c r="CI15" s="3" t="s">
        <v>950</v>
      </c>
      <c r="CJ15" s="3" t="s">
        <v>79</v>
      </c>
      <c r="CK15" s="3" t="s">
        <v>897</v>
      </c>
      <c r="CL15" s="3" t="s">
        <v>554</v>
      </c>
      <c r="CM15" s="3" t="s">
        <v>76</v>
      </c>
      <c r="CN15" t="s">
        <v>1041</v>
      </c>
      <c r="CO15" s="3" t="s">
        <v>589</v>
      </c>
      <c r="CP15" s="3" t="s">
        <v>225</v>
      </c>
      <c r="CQ15">
        <v>5</v>
      </c>
      <c r="CR15" s="3" t="s">
        <v>675</v>
      </c>
      <c r="CS15" s="3" t="s">
        <v>1042</v>
      </c>
      <c r="CT15" s="3" t="s">
        <v>78</v>
      </c>
      <c r="CU15" s="3" t="s">
        <v>263</v>
      </c>
      <c r="CV15" s="3" t="s">
        <v>1043</v>
      </c>
    </row>
    <row r="16" spans="1:100" x14ac:dyDescent="0.25">
      <c r="A16" t="s">
        <v>1044</v>
      </c>
      <c r="B16" t="s">
        <v>769</v>
      </c>
      <c r="C16" s="1">
        <v>45805</v>
      </c>
      <c r="D16" t="s">
        <v>1045</v>
      </c>
      <c r="E16">
        <v>22283907</v>
      </c>
      <c r="F16">
        <v>40</v>
      </c>
      <c r="G16">
        <v>30</v>
      </c>
      <c r="H16" t="s">
        <v>850</v>
      </c>
      <c r="I16" t="s">
        <v>850</v>
      </c>
      <c r="J16" t="s">
        <v>850</v>
      </c>
      <c r="K16" s="1">
        <v>23750</v>
      </c>
      <c r="L16" s="15">
        <f t="shared" si="0"/>
        <v>60</v>
      </c>
      <c r="M16" t="s">
        <v>59</v>
      </c>
      <c r="N16" t="s">
        <v>108</v>
      </c>
      <c r="O16" t="s">
        <v>60</v>
      </c>
      <c r="P16" t="s">
        <v>61</v>
      </c>
      <c r="Q16" t="s">
        <v>61</v>
      </c>
      <c r="R16" t="s">
        <v>62</v>
      </c>
      <c r="S16" t="s">
        <v>61</v>
      </c>
      <c r="T16" t="s">
        <v>932</v>
      </c>
      <c r="U16" t="s">
        <v>61</v>
      </c>
      <c r="V16" t="s">
        <v>1335</v>
      </c>
      <c r="W16" t="s">
        <v>1739</v>
      </c>
      <c r="X16" t="s">
        <v>1543</v>
      </c>
      <c r="Y16" t="s">
        <v>1722</v>
      </c>
      <c r="Z16" t="s">
        <v>66</v>
      </c>
      <c r="AA16" t="s">
        <v>66</v>
      </c>
      <c r="AB16" t="s">
        <v>63</v>
      </c>
      <c r="AC16" t="s">
        <v>66</v>
      </c>
      <c r="AD16">
        <v>2</v>
      </c>
      <c r="AE16">
        <v>3</v>
      </c>
      <c r="AF16" t="s">
        <v>61</v>
      </c>
      <c r="AG16" t="s">
        <v>1046</v>
      </c>
      <c r="AH16" t="s">
        <v>61</v>
      </c>
      <c r="AI16" t="s">
        <v>1047</v>
      </c>
      <c r="AJ16" t="s">
        <v>61</v>
      </c>
      <c r="AK16" t="s">
        <v>66</v>
      </c>
      <c r="AL16" t="s">
        <v>61</v>
      </c>
      <c r="AM16" t="s">
        <v>66</v>
      </c>
      <c r="AN16">
        <v>1</v>
      </c>
      <c r="AO16" t="s">
        <v>61</v>
      </c>
      <c r="AP16" t="s">
        <v>1048</v>
      </c>
      <c r="AQ16" t="s">
        <v>1049</v>
      </c>
      <c r="AR16" t="s">
        <v>63</v>
      </c>
      <c r="AS16" t="s">
        <v>63</v>
      </c>
      <c r="AT16" t="s">
        <v>61</v>
      </c>
      <c r="AU16">
        <v>8</v>
      </c>
      <c r="AV16" t="s">
        <v>66</v>
      </c>
      <c r="AW16" t="s">
        <v>66</v>
      </c>
      <c r="AX16" t="s">
        <v>66</v>
      </c>
      <c r="AY16" t="s">
        <v>66</v>
      </c>
      <c r="AZ16" t="s">
        <v>66</v>
      </c>
      <c r="BA16" t="s">
        <v>66</v>
      </c>
      <c r="BB16">
        <v>100</v>
      </c>
      <c r="BC16" t="s">
        <v>70</v>
      </c>
      <c r="BD16">
        <v>3</v>
      </c>
      <c r="BE16" t="s">
        <v>175</v>
      </c>
      <c r="BF16" t="s">
        <v>104</v>
      </c>
      <c r="BG16" t="s">
        <v>71</v>
      </c>
      <c r="BH16" t="s">
        <v>63</v>
      </c>
      <c r="BI16" t="s">
        <v>374</v>
      </c>
      <c r="BJ16" s="3" t="s">
        <v>77</v>
      </c>
      <c r="BK16" t="s">
        <v>1050</v>
      </c>
      <c r="BL16" t="s">
        <v>1051</v>
      </c>
      <c r="BM16">
        <v>72</v>
      </c>
      <c r="BN16" s="3" t="s">
        <v>261</v>
      </c>
      <c r="BO16">
        <v>100</v>
      </c>
      <c r="BP16" t="s">
        <v>502</v>
      </c>
      <c r="BQ16" t="s">
        <v>78</v>
      </c>
      <c r="BR16" s="3" t="s">
        <v>1052</v>
      </c>
      <c r="BS16" t="s">
        <v>63</v>
      </c>
      <c r="BT16" t="s">
        <v>66</v>
      </c>
      <c r="BU16" t="s">
        <v>66</v>
      </c>
      <c r="BV16" t="s">
        <v>66</v>
      </c>
      <c r="BW16" t="s">
        <v>66</v>
      </c>
      <c r="BX16" t="s">
        <v>66</v>
      </c>
      <c r="BY16" t="s">
        <v>66</v>
      </c>
      <c r="BZ16" t="s">
        <v>66</v>
      </c>
      <c r="CA16" t="s">
        <v>66</v>
      </c>
      <c r="CB16" t="s">
        <v>66</v>
      </c>
      <c r="CC16" t="s">
        <v>66</v>
      </c>
      <c r="CD16" t="s">
        <v>66</v>
      </c>
      <c r="CE16" t="s">
        <v>66</v>
      </c>
      <c r="CF16" t="s">
        <v>66</v>
      </c>
      <c r="CG16" t="s">
        <v>66</v>
      </c>
      <c r="CH16" t="s">
        <v>66</v>
      </c>
      <c r="CI16" t="s">
        <v>63</v>
      </c>
      <c r="CJ16" t="s">
        <v>66</v>
      </c>
      <c r="CK16" t="s">
        <v>66</v>
      </c>
      <c r="CL16" t="s">
        <v>66</v>
      </c>
      <c r="CM16" t="s">
        <v>66</v>
      </c>
      <c r="CN16" t="s">
        <v>66</v>
      </c>
      <c r="CO16" t="s">
        <v>66</v>
      </c>
      <c r="CP16" t="s">
        <v>66</v>
      </c>
      <c r="CQ16" t="s">
        <v>66</v>
      </c>
      <c r="CR16" t="s">
        <v>66</v>
      </c>
      <c r="CS16" t="s">
        <v>66</v>
      </c>
      <c r="CT16" t="s">
        <v>66</v>
      </c>
      <c r="CU16" t="s">
        <v>66</v>
      </c>
      <c r="CV16" s="3" t="s">
        <v>1053</v>
      </c>
    </row>
    <row r="17" spans="1:100" x14ac:dyDescent="0.25">
      <c r="A17" t="s">
        <v>1054</v>
      </c>
      <c r="B17" t="s">
        <v>769</v>
      </c>
      <c r="C17" s="1">
        <v>45805</v>
      </c>
      <c r="D17" t="s">
        <v>1055</v>
      </c>
      <c r="E17">
        <v>46281470</v>
      </c>
      <c r="F17">
        <v>15</v>
      </c>
      <c r="G17">
        <v>15</v>
      </c>
      <c r="H17" t="s">
        <v>850</v>
      </c>
      <c r="I17" t="s">
        <v>850</v>
      </c>
      <c r="J17" t="s">
        <v>1056</v>
      </c>
      <c r="K17" s="1">
        <v>33329</v>
      </c>
      <c r="L17" s="15">
        <f t="shared" si="0"/>
        <v>34</v>
      </c>
      <c r="M17" t="s">
        <v>59</v>
      </c>
      <c r="N17" t="s">
        <v>108</v>
      </c>
      <c r="O17" t="s">
        <v>60</v>
      </c>
      <c r="P17" t="s">
        <v>61</v>
      </c>
      <c r="Q17" t="s">
        <v>61</v>
      </c>
      <c r="R17" t="s">
        <v>129</v>
      </c>
      <c r="S17" t="s">
        <v>61</v>
      </c>
      <c r="T17" t="s">
        <v>1057</v>
      </c>
      <c r="U17" t="s">
        <v>61</v>
      </c>
      <c r="V17" t="s">
        <v>1723</v>
      </c>
      <c r="W17" t="s">
        <v>1741</v>
      </c>
      <c r="X17" t="s">
        <v>1730</v>
      </c>
      <c r="Y17" t="s">
        <v>1741</v>
      </c>
      <c r="Z17" t="s">
        <v>1335</v>
      </c>
      <c r="AA17" t="s">
        <v>1740</v>
      </c>
      <c r="AB17" t="s">
        <v>63</v>
      </c>
      <c r="AC17" t="s">
        <v>66</v>
      </c>
      <c r="AD17">
        <v>2</v>
      </c>
      <c r="AE17">
        <v>2</v>
      </c>
      <c r="AF17" t="s">
        <v>61</v>
      </c>
      <c r="AG17" t="s">
        <v>1058</v>
      </c>
      <c r="AH17" t="s">
        <v>61</v>
      </c>
      <c r="AI17" t="s">
        <v>1059</v>
      </c>
      <c r="AJ17" t="s">
        <v>61</v>
      </c>
      <c r="AK17" t="s">
        <v>66</v>
      </c>
      <c r="AL17" t="s">
        <v>61</v>
      </c>
      <c r="AM17" t="s">
        <v>66</v>
      </c>
      <c r="AN17">
        <v>0</v>
      </c>
      <c r="AO17" t="s">
        <v>66</v>
      </c>
      <c r="AP17" t="s">
        <v>1060</v>
      </c>
      <c r="AQ17" t="s">
        <v>1061</v>
      </c>
      <c r="AR17" t="s">
        <v>63</v>
      </c>
      <c r="AS17" t="s">
        <v>63</v>
      </c>
      <c r="AT17" t="s">
        <v>61</v>
      </c>
      <c r="AU17">
        <v>6</v>
      </c>
      <c r="AV17" t="s">
        <v>66</v>
      </c>
      <c r="AW17" t="s">
        <v>66</v>
      </c>
      <c r="AX17" t="s">
        <v>66</v>
      </c>
      <c r="AY17" t="s">
        <v>66</v>
      </c>
      <c r="AZ17" t="s">
        <v>66</v>
      </c>
      <c r="BA17" t="s">
        <v>66</v>
      </c>
      <c r="BB17">
        <v>208</v>
      </c>
      <c r="BC17" t="s">
        <v>70</v>
      </c>
      <c r="BD17">
        <v>3</v>
      </c>
      <c r="BE17" t="s">
        <v>1062</v>
      </c>
      <c r="BF17" t="s">
        <v>104</v>
      </c>
      <c r="BG17" t="s">
        <v>71</v>
      </c>
      <c r="BH17" t="s">
        <v>63</v>
      </c>
      <c r="BI17" t="s">
        <v>554</v>
      </c>
      <c r="BJ17">
        <v>4</v>
      </c>
      <c r="BK17" t="s">
        <v>1063</v>
      </c>
      <c r="BL17">
        <v>30</v>
      </c>
      <c r="BM17">
        <v>72</v>
      </c>
      <c r="BN17">
        <v>6</v>
      </c>
      <c r="BO17" t="s">
        <v>228</v>
      </c>
      <c r="BP17" t="s">
        <v>502</v>
      </c>
      <c r="BQ17" t="s">
        <v>78</v>
      </c>
      <c r="BR17" s="3" t="s">
        <v>1064</v>
      </c>
      <c r="BS17" t="s">
        <v>894</v>
      </c>
      <c r="BT17">
        <v>4</v>
      </c>
      <c r="BU17" t="s">
        <v>1062</v>
      </c>
      <c r="BV17" t="s">
        <v>104</v>
      </c>
      <c r="BW17" t="s">
        <v>163</v>
      </c>
      <c r="BX17" t="s">
        <v>63</v>
      </c>
      <c r="BY17" s="3" t="s">
        <v>499</v>
      </c>
      <c r="BZ17" s="3" t="s">
        <v>589</v>
      </c>
      <c r="CA17" t="s">
        <v>66</v>
      </c>
      <c r="CB17" s="3" t="s">
        <v>225</v>
      </c>
      <c r="CC17" s="3" t="s">
        <v>66</v>
      </c>
      <c r="CD17" s="3" t="s">
        <v>66</v>
      </c>
      <c r="CE17" s="3" t="s">
        <v>66</v>
      </c>
      <c r="CF17" s="3" t="s">
        <v>173</v>
      </c>
      <c r="CG17" s="3" t="s">
        <v>78</v>
      </c>
      <c r="CH17" s="3" t="s">
        <v>1065</v>
      </c>
      <c r="CI17" t="s">
        <v>63</v>
      </c>
      <c r="CJ17" t="s">
        <v>66</v>
      </c>
      <c r="CK17" t="s">
        <v>66</v>
      </c>
      <c r="CL17" t="s">
        <v>66</v>
      </c>
      <c r="CM17" t="s">
        <v>66</v>
      </c>
      <c r="CN17" t="s">
        <v>66</v>
      </c>
      <c r="CO17" t="s">
        <v>66</v>
      </c>
      <c r="CP17" t="s">
        <v>66</v>
      </c>
      <c r="CQ17" t="s">
        <v>66</v>
      </c>
      <c r="CR17" t="s">
        <v>66</v>
      </c>
      <c r="CS17" t="s">
        <v>66</v>
      </c>
      <c r="CT17" t="s">
        <v>66</v>
      </c>
      <c r="CU17" t="s">
        <v>66</v>
      </c>
      <c r="CV17" s="3" t="s">
        <v>1066</v>
      </c>
    </row>
    <row r="18" spans="1:100" x14ac:dyDescent="0.25">
      <c r="A18" t="s">
        <v>1067</v>
      </c>
      <c r="B18" t="s">
        <v>769</v>
      </c>
      <c r="C18" s="1">
        <v>45806</v>
      </c>
      <c r="D18" t="s">
        <v>1068</v>
      </c>
      <c r="E18">
        <v>22285378</v>
      </c>
      <c r="F18">
        <v>48</v>
      </c>
      <c r="G18">
        <v>30</v>
      </c>
      <c r="H18" t="s">
        <v>850</v>
      </c>
      <c r="I18" t="s">
        <v>850</v>
      </c>
      <c r="J18" t="s">
        <v>1069</v>
      </c>
      <c r="K18" s="1">
        <v>23423</v>
      </c>
      <c r="L18" s="15">
        <f t="shared" si="0"/>
        <v>61</v>
      </c>
      <c r="M18" t="s">
        <v>59</v>
      </c>
      <c r="N18" t="s">
        <v>298</v>
      </c>
      <c r="O18" t="s">
        <v>322</v>
      </c>
      <c r="P18" t="s">
        <v>61</v>
      </c>
      <c r="Q18" t="s">
        <v>63</v>
      </c>
      <c r="R18" t="s">
        <v>62</v>
      </c>
      <c r="S18" t="s">
        <v>61</v>
      </c>
      <c r="T18" t="s">
        <v>932</v>
      </c>
      <c r="U18" t="s">
        <v>61</v>
      </c>
      <c r="V18" t="s">
        <v>1723</v>
      </c>
      <c r="W18" t="s">
        <v>1742</v>
      </c>
      <c r="X18" t="s">
        <v>66</v>
      </c>
      <c r="Y18" t="s">
        <v>66</v>
      </c>
      <c r="Z18" t="s">
        <v>66</v>
      </c>
      <c r="AA18" t="s">
        <v>66</v>
      </c>
      <c r="AB18" t="s">
        <v>63</v>
      </c>
      <c r="AC18" t="s">
        <v>66</v>
      </c>
      <c r="AD18">
        <v>0</v>
      </c>
      <c r="AE18">
        <v>7</v>
      </c>
      <c r="AF18" t="s">
        <v>63</v>
      </c>
      <c r="AG18" t="s">
        <v>66</v>
      </c>
      <c r="AH18" t="s">
        <v>61</v>
      </c>
      <c r="AI18" t="s">
        <v>1070</v>
      </c>
      <c r="AJ18" t="s">
        <v>61</v>
      </c>
      <c r="AK18" t="s">
        <v>66</v>
      </c>
      <c r="AL18" t="s">
        <v>61</v>
      </c>
      <c r="AM18" t="s">
        <v>66</v>
      </c>
      <c r="AN18">
        <v>2</v>
      </c>
      <c r="AO18" t="s">
        <v>61</v>
      </c>
      <c r="AP18" t="s">
        <v>1071</v>
      </c>
      <c r="AQ18" t="s">
        <v>63</v>
      </c>
      <c r="AR18" t="s">
        <v>63</v>
      </c>
      <c r="AS18" t="s">
        <v>63</v>
      </c>
      <c r="AT18" t="s">
        <v>63</v>
      </c>
      <c r="AU18">
        <v>5</v>
      </c>
      <c r="AV18" t="s">
        <v>66</v>
      </c>
      <c r="AW18" t="s">
        <v>66</v>
      </c>
      <c r="AX18" t="s">
        <v>66</v>
      </c>
      <c r="AY18" t="s">
        <v>66</v>
      </c>
      <c r="AZ18" t="s">
        <v>66</v>
      </c>
      <c r="BA18" t="s">
        <v>66</v>
      </c>
      <c r="BB18">
        <v>128</v>
      </c>
      <c r="BC18" t="s">
        <v>70</v>
      </c>
      <c r="BD18">
        <v>1</v>
      </c>
      <c r="BE18">
        <v>61</v>
      </c>
      <c r="BF18" t="s">
        <v>104</v>
      </c>
      <c r="BG18" t="s">
        <v>71</v>
      </c>
      <c r="BH18" t="s">
        <v>63</v>
      </c>
      <c r="BI18" t="s">
        <v>554</v>
      </c>
      <c r="BJ18">
        <v>5</v>
      </c>
      <c r="BK18" t="s">
        <v>860</v>
      </c>
      <c r="BL18" t="s">
        <v>175</v>
      </c>
      <c r="BM18">
        <v>72</v>
      </c>
      <c r="BN18">
        <v>15</v>
      </c>
      <c r="BO18" t="s">
        <v>907</v>
      </c>
      <c r="BP18" t="s">
        <v>1072</v>
      </c>
      <c r="BQ18" t="s">
        <v>78</v>
      </c>
      <c r="BR18" s="3" t="s">
        <v>949</v>
      </c>
      <c r="BS18" t="s">
        <v>63</v>
      </c>
      <c r="BT18" t="s">
        <v>66</v>
      </c>
      <c r="BU18" t="s">
        <v>66</v>
      </c>
      <c r="BV18" t="s">
        <v>66</v>
      </c>
      <c r="BW18" t="s">
        <v>66</v>
      </c>
      <c r="BX18" t="s">
        <v>66</v>
      </c>
      <c r="BY18" t="s">
        <v>66</v>
      </c>
      <c r="BZ18" t="s">
        <v>66</v>
      </c>
      <c r="CA18" t="s">
        <v>66</v>
      </c>
      <c r="CB18" t="s">
        <v>66</v>
      </c>
      <c r="CC18" t="s">
        <v>66</v>
      </c>
      <c r="CD18" t="s">
        <v>66</v>
      </c>
      <c r="CE18" t="s">
        <v>66</v>
      </c>
      <c r="CF18" t="s">
        <v>66</v>
      </c>
      <c r="CG18" t="s">
        <v>66</v>
      </c>
      <c r="CH18" t="s">
        <v>66</v>
      </c>
      <c r="CI18" t="s">
        <v>63</v>
      </c>
      <c r="CJ18" t="s">
        <v>66</v>
      </c>
      <c r="CK18" t="s">
        <v>66</v>
      </c>
      <c r="CL18" t="s">
        <v>66</v>
      </c>
      <c r="CM18" t="s">
        <v>66</v>
      </c>
      <c r="CN18" t="s">
        <v>66</v>
      </c>
      <c r="CO18" t="s">
        <v>66</v>
      </c>
      <c r="CP18" t="s">
        <v>66</v>
      </c>
      <c r="CQ18" t="s">
        <v>66</v>
      </c>
      <c r="CR18" t="s">
        <v>66</v>
      </c>
      <c r="CS18" t="s">
        <v>66</v>
      </c>
      <c r="CT18" t="s">
        <v>66</v>
      </c>
      <c r="CU18" t="s">
        <v>66</v>
      </c>
      <c r="CV18" s="3" t="s">
        <v>1073</v>
      </c>
    </row>
    <row r="19" spans="1:100" x14ac:dyDescent="0.25">
      <c r="A19" t="s">
        <v>1074</v>
      </c>
      <c r="B19" t="s">
        <v>769</v>
      </c>
      <c r="C19" s="1">
        <v>45811</v>
      </c>
      <c r="D19" t="s">
        <v>1075</v>
      </c>
      <c r="E19">
        <v>73458556</v>
      </c>
      <c r="F19">
        <v>20</v>
      </c>
      <c r="G19">
        <v>16</v>
      </c>
      <c r="H19" t="s">
        <v>850</v>
      </c>
      <c r="I19" t="s">
        <v>850</v>
      </c>
      <c r="J19" t="s">
        <v>850</v>
      </c>
      <c r="K19" s="1">
        <v>34655</v>
      </c>
      <c r="L19" s="15">
        <f t="shared" si="0"/>
        <v>30</v>
      </c>
      <c r="M19" t="s">
        <v>59</v>
      </c>
      <c r="N19" t="s">
        <v>108</v>
      </c>
      <c r="O19" t="s">
        <v>1076</v>
      </c>
      <c r="P19" t="s">
        <v>61</v>
      </c>
      <c r="Q19" t="s">
        <v>63</v>
      </c>
      <c r="R19" t="s">
        <v>129</v>
      </c>
      <c r="S19" t="s">
        <v>61</v>
      </c>
      <c r="T19" t="s">
        <v>932</v>
      </c>
      <c r="U19" t="s">
        <v>61</v>
      </c>
      <c r="V19" t="s">
        <v>1723</v>
      </c>
      <c r="W19" t="s">
        <v>1736</v>
      </c>
      <c r="X19" t="s">
        <v>1543</v>
      </c>
      <c r="Y19" t="s">
        <v>1722</v>
      </c>
      <c r="Z19" t="s">
        <v>66</v>
      </c>
      <c r="AA19" t="s">
        <v>66</v>
      </c>
      <c r="AB19" t="s">
        <v>63</v>
      </c>
      <c r="AC19" t="s">
        <v>66</v>
      </c>
      <c r="AD19">
        <v>4</v>
      </c>
      <c r="AE19">
        <v>3</v>
      </c>
      <c r="AF19" t="s">
        <v>61</v>
      </c>
      <c r="AG19" t="s">
        <v>132</v>
      </c>
      <c r="AH19" t="s">
        <v>63</v>
      </c>
      <c r="AI19" t="s">
        <v>66</v>
      </c>
      <c r="AJ19" t="s">
        <v>61</v>
      </c>
      <c r="AK19" t="s">
        <v>66</v>
      </c>
      <c r="AL19" t="s">
        <v>61</v>
      </c>
      <c r="AM19" t="s">
        <v>66</v>
      </c>
      <c r="AN19">
        <v>0</v>
      </c>
      <c r="AO19" t="s">
        <v>66</v>
      </c>
      <c r="AP19" t="s">
        <v>1077</v>
      </c>
      <c r="AQ19" t="s">
        <v>1078</v>
      </c>
      <c r="AR19" t="s">
        <v>63</v>
      </c>
      <c r="AS19" t="s">
        <v>63</v>
      </c>
      <c r="AT19" t="s">
        <v>61</v>
      </c>
      <c r="AU19">
        <v>6</v>
      </c>
      <c r="AV19" t="s">
        <v>66</v>
      </c>
      <c r="AW19" t="s">
        <v>66</v>
      </c>
      <c r="AX19" t="s">
        <v>66</v>
      </c>
      <c r="AY19" t="s">
        <v>66</v>
      </c>
      <c r="AZ19" t="s">
        <v>66</v>
      </c>
      <c r="BA19" t="s">
        <v>66</v>
      </c>
      <c r="BB19">
        <v>224</v>
      </c>
      <c r="BC19" t="s">
        <v>70</v>
      </c>
      <c r="BD19">
        <v>3</v>
      </c>
      <c r="BE19" t="s">
        <v>227</v>
      </c>
      <c r="BF19" t="s">
        <v>881</v>
      </c>
      <c r="BG19" t="s">
        <v>71</v>
      </c>
      <c r="BH19" t="s">
        <v>63</v>
      </c>
      <c r="BI19" t="s">
        <v>554</v>
      </c>
      <c r="BJ19">
        <v>4</v>
      </c>
      <c r="BK19" t="s">
        <v>1079</v>
      </c>
      <c r="BL19">
        <v>28</v>
      </c>
      <c r="BM19" t="s">
        <v>882</v>
      </c>
      <c r="BN19">
        <v>8</v>
      </c>
      <c r="BO19" t="s">
        <v>938</v>
      </c>
      <c r="BP19" t="s">
        <v>1080</v>
      </c>
      <c r="BQ19" t="s">
        <v>78</v>
      </c>
      <c r="BR19" s="3" t="s">
        <v>312</v>
      </c>
      <c r="BS19" t="s">
        <v>950</v>
      </c>
      <c r="BT19">
        <v>4</v>
      </c>
      <c r="BU19" t="s">
        <v>227</v>
      </c>
      <c r="BV19" s="3" t="s">
        <v>881</v>
      </c>
      <c r="BW19" t="s">
        <v>79</v>
      </c>
      <c r="BX19" t="s">
        <v>1081</v>
      </c>
      <c r="BY19" t="s">
        <v>499</v>
      </c>
      <c r="BZ19">
        <v>4</v>
      </c>
      <c r="CA19" t="s">
        <v>1082</v>
      </c>
      <c r="CB19">
        <v>15</v>
      </c>
      <c r="CC19" s="3" t="s">
        <v>225</v>
      </c>
      <c r="CD19">
        <v>6</v>
      </c>
      <c r="CE19">
        <v>20</v>
      </c>
      <c r="CF19">
        <v>500</v>
      </c>
      <c r="CG19" t="s">
        <v>970</v>
      </c>
      <c r="CH19">
        <v>15</v>
      </c>
      <c r="CI19" t="s">
        <v>63</v>
      </c>
      <c r="CJ19" t="s">
        <v>66</v>
      </c>
      <c r="CK19" t="s">
        <v>66</v>
      </c>
      <c r="CL19" t="s">
        <v>66</v>
      </c>
      <c r="CM19" t="s">
        <v>66</v>
      </c>
      <c r="CN19" t="s">
        <v>66</v>
      </c>
      <c r="CO19" t="s">
        <v>66</v>
      </c>
      <c r="CP19" t="s">
        <v>66</v>
      </c>
      <c r="CQ19" t="s">
        <v>66</v>
      </c>
      <c r="CR19" t="s">
        <v>66</v>
      </c>
      <c r="CS19" t="s">
        <v>66</v>
      </c>
      <c r="CT19" t="s">
        <v>66</v>
      </c>
      <c r="CU19" t="s">
        <v>66</v>
      </c>
      <c r="CV19" s="3" t="s">
        <v>1083</v>
      </c>
    </row>
    <row r="20" spans="1:100" x14ac:dyDescent="0.25">
      <c r="A20" t="s">
        <v>1084</v>
      </c>
      <c r="B20" t="s">
        <v>769</v>
      </c>
      <c r="C20" s="1">
        <v>45814</v>
      </c>
      <c r="D20" t="s">
        <v>1085</v>
      </c>
      <c r="E20">
        <v>22085259</v>
      </c>
      <c r="F20">
        <v>40</v>
      </c>
      <c r="G20">
        <v>10</v>
      </c>
      <c r="H20" t="s">
        <v>850</v>
      </c>
      <c r="I20" t="s">
        <v>850</v>
      </c>
      <c r="J20" t="s">
        <v>850</v>
      </c>
      <c r="K20" s="1">
        <v>22306</v>
      </c>
      <c r="L20" s="15">
        <f t="shared" si="0"/>
        <v>64</v>
      </c>
      <c r="M20" t="s">
        <v>59</v>
      </c>
      <c r="N20" t="s">
        <v>108</v>
      </c>
      <c r="O20" t="s">
        <v>60</v>
      </c>
      <c r="P20" t="s">
        <v>61</v>
      </c>
      <c r="Q20" t="s">
        <v>61</v>
      </c>
      <c r="R20" t="s">
        <v>62</v>
      </c>
      <c r="S20" t="s">
        <v>61</v>
      </c>
      <c r="T20" t="s">
        <v>854</v>
      </c>
      <c r="U20" t="s">
        <v>61</v>
      </c>
      <c r="V20" t="s">
        <v>1543</v>
      </c>
      <c r="W20" t="s">
        <v>1722</v>
      </c>
      <c r="X20" t="s">
        <v>66</v>
      </c>
      <c r="Y20" t="s">
        <v>66</v>
      </c>
      <c r="Z20" t="s">
        <v>66</v>
      </c>
      <c r="AA20" t="s">
        <v>66</v>
      </c>
      <c r="AB20" t="s">
        <v>63</v>
      </c>
      <c r="AC20" t="s">
        <v>66</v>
      </c>
      <c r="AD20">
        <v>0</v>
      </c>
      <c r="AE20">
        <v>3</v>
      </c>
      <c r="AF20" t="s">
        <v>61</v>
      </c>
      <c r="AG20" t="s">
        <v>1086</v>
      </c>
      <c r="AH20" t="s">
        <v>61</v>
      </c>
      <c r="AI20" t="s">
        <v>1087</v>
      </c>
      <c r="AJ20" t="s">
        <v>63</v>
      </c>
      <c r="AK20" t="s">
        <v>1088</v>
      </c>
      <c r="AL20" t="s">
        <v>61</v>
      </c>
      <c r="AM20" t="s">
        <v>66</v>
      </c>
      <c r="AN20">
        <v>1</v>
      </c>
      <c r="AO20" t="s">
        <v>61</v>
      </c>
      <c r="AP20" t="s">
        <v>1089</v>
      </c>
      <c r="AQ20" t="s">
        <v>1090</v>
      </c>
      <c r="AR20" t="s">
        <v>63</v>
      </c>
      <c r="AS20" t="s">
        <v>63</v>
      </c>
      <c r="AT20" t="s">
        <v>61</v>
      </c>
      <c r="AU20">
        <v>4</v>
      </c>
      <c r="AV20" t="s">
        <v>66</v>
      </c>
      <c r="AW20" t="s">
        <v>66</v>
      </c>
      <c r="AX20" t="s">
        <v>66</v>
      </c>
      <c r="AY20" t="s">
        <v>66</v>
      </c>
      <c r="AZ20" t="s">
        <v>66</v>
      </c>
      <c r="BA20" t="s">
        <v>66</v>
      </c>
      <c r="BB20">
        <v>136</v>
      </c>
      <c r="BC20" t="s">
        <v>70</v>
      </c>
      <c r="BD20">
        <v>3</v>
      </c>
      <c r="BE20" t="s">
        <v>1091</v>
      </c>
      <c r="BF20" t="s">
        <v>104</v>
      </c>
      <c r="BG20" t="s">
        <v>71</v>
      </c>
      <c r="BH20" t="s">
        <v>63</v>
      </c>
      <c r="BI20" t="s">
        <v>254</v>
      </c>
      <c r="BJ20">
        <v>6</v>
      </c>
      <c r="BK20" t="s">
        <v>1092</v>
      </c>
      <c r="BL20" t="s">
        <v>83</v>
      </c>
      <c r="BM20">
        <v>72</v>
      </c>
      <c r="BN20">
        <v>4</v>
      </c>
      <c r="BO20" t="s">
        <v>493</v>
      </c>
      <c r="BP20" t="s">
        <v>675</v>
      </c>
      <c r="BQ20" t="s">
        <v>78</v>
      </c>
      <c r="BR20" s="3" t="s">
        <v>136</v>
      </c>
      <c r="BS20" t="s">
        <v>107</v>
      </c>
      <c r="BT20">
        <v>4</v>
      </c>
      <c r="BU20" t="s">
        <v>1091</v>
      </c>
      <c r="BV20" t="s">
        <v>104</v>
      </c>
      <c r="BW20" t="s">
        <v>96</v>
      </c>
      <c r="BX20" t="s">
        <v>63</v>
      </c>
      <c r="BY20" t="s">
        <v>895</v>
      </c>
      <c r="BZ20" t="s">
        <v>1019</v>
      </c>
      <c r="CA20" t="s">
        <v>1093</v>
      </c>
      <c r="CB20" s="3" t="s">
        <v>142</v>
      </c>
      <c r="CC20" t="s">
        <v>968</v>
      </c>
      <c r="CD20">
        <v>1</v>
      </c>
      <c r="CE20">
        <v>200</v>
      </c>
      <c r="CF20">
        <v>200</v>
      </c>
      <c r="CG20" t="s">
        <v>970</v>
      </c>
      <c r="CH20" s="3" t="s">
        <v>103</v>
      </c>
      <c r="CI20" t="s">
        <v>63</v>
      </c>
      <c r="CJ20" t="s">
        <v>66</v>
      </c>
      <c r="CK20" t="s">
        <v>66</v>
      </c>
      <c r="CL20" t="s">
        <v>66</v>
      </c>
      <c r="CM20" t="s">
        <v>66</v>
      </c>
      <c r="CN20" t="s">
        <v>66</v>
      </c>
      <c r="CO20" t="s">
        <v>66</v>
      </c>
      <c r="CP20" t="s">
        <v>66</v>
      </c>
      <c r="CQ20" t="s">
        <v>66</v>
      </c>
      <c r="CR20" t="s">
        <v>66</v>
      </c>
      <c r="CS20" t="s">
        <v>66</v>
      </c>
      <c r="CT20" t="s">
        <v>66</v>
      </c>
      <c r="CU20" t="s">
        <v>66</v>
      </c>
      <c r="CV20" s="3" t="s">
        <v>1094</v>
      </c>
    </row>
    <row r="21" spans="1:100" x14ac:dyDescent="0.25">
      <c r="A21" t="s">
        <v>1095</v>
      </c>
      <c r="B21" t="s">
        <v>769</v>
      </c>
      <c r="C21" s="1">
        <v>45814</v>
      </c>
      <c r="D21" t="s">
        <v>1096</v>
      </c>
      <c r="E21">
        <v>45773391</v>
      </c>
      <c r="F21">
        <v>18</v>
      </c>
      <c r="G21">
        <v>10</v>
      </c>
      <c r="H21" t="s">
        <v>850</v>
      </c>
      <c r="I21" t="s">
        <v>850</v>
      </c>
      <c r="J21" t="s">
        <v>1097</v>
      </c>
      <c r="K21" s="1">
        <v>32681</v>
      </c>
      <c r="L21" s="15">
        <f t="shared" si="0"/>
        <v>36</v>
      </c>
      <c r="M21" t="s">
        <v>59</v>
      </c>
      <c r="N21" t="s">
        <v>108</v>
      </c>
      <c r="O21" t="s">
        <v>60</v>
      </c>
      <c r="P21" t="s">
        <v>61</v>
      </c>
      <c r="Q21" t="s">
        <v>63</v>
      </c>
      <c r="R21" t="s">
        <v>62</v>
      </c>
      <c r="S21" t="s">
        <v>61</v>
      </c>
      <c r="T21" t="s">
        <v>932</v>
      </c>
      <c r="U21" t="s">
        <v>61</v>
      </c>
      <c r="V21" t="s">
        <v>1723</v>
      </c>
      <c r="W21" t="s">
        <v>1743</v>
      </c>
      <c r="X21" t="s">
        <v>66</v>
      </c>
      <c r="Y21" t="s">
        <v>66</v>
      </c>
      <c r="Z21" t="s">
        <v>66</v>
      </c>
      <c r="AA21" t="s">
        <v>66</v>
      </c>
      <c r="AB21" t="s">
        <v>63</v>
      </c>
      <c r="AC21" t="s">
        <v>66</v>
      </c>
      <c r="AD21">
        <v>2</v>
      </c>
      <c r="AE21">
        <v>1</v>
      </c>
      <c r="AF21" t="s">
        <v>61</v>
      </c>
      <c r="AG21" t="s">
        <v>132</v>
      </c>
      <c r="AH21" t="s">
        <v>63</v>
      </c>
      <c r="AI21" t="s">
        <v>66</v>
      </c>
      <c r="AJ21" t="s">
        <v>61</v>
      </c>
      <c r="AK21" t="s">
        <v>66</v>
      </c>
      <c r="AL21" t="s">
        <v>61</v>
      </c>
      <c r="AM21" t="s">
        <v>66</v>
      </c>
      <c r="AN21">
        <v>0</v>
      </c>
      <c r="AO21" t="s">
        <v>66</v>
      </c>
      <c r="AP21" t="s">
        <v>1098</v>
      </c>
      <c r="AQ21" t="s">
        <v>1099</v>
      </c>
      <c r="AR21" t="s">
        <v>63</v>
      </c>
      <c r="AS21" t="s">
        <v>63</v>
      </c>
      <c r="AT21" t="s">
        <v>61</v>
      </c>
      <c r="AU21">
        <v>4</v>
      </c>
      <c r="AV21" t="s">
        <v>66</v>
      </c>
      <c r="AW21" t="s">
        <v>66</v>
      </c>
      <c r="AX21" t="s">
        <v>66</v>
      </c>
      <c r="AY21" t="s">
        <v>66</v>
      </c>
      <c r="AZ21" t="s">
        <v>66</v>
      </c>
      <c r="BA21" t="s">
        <v>66</v>
      </c>
      <c r="BB21">
        <v>192</v>
      </c>
      <c r="BC21" t="s">
        <v>70</v>
      </c>
      <c r="BD21">
        <v>4</v>
      </c>
      <c r="BE21" t="s">
        <v>136</v>
      </c>
      <c r="BF21" t="s">
        <v>104</v>
      </c>
      <c r="BG21" t="s">
        <v>71</v>
      </c>
      <c r="BH21" t="s">
        <v>63</v>
      </c>
      <c r="BI21" t="s">
        <v>554</v>
      </c>
      <c r="BJ21" s="3" t="s">
        <v>77</v>
      </c>
      <c r="BK21" t="s">
        <v>1100</v>
      </c>
      <c r="BL21">
        <v>25</v>
      </c>
      <c r="BM21" t="s">
        <v>73</v>
      </c>
      <c r="BN21" s="3" t="s">
        <v>370</v>
      </c>
      <c r="BO21" t="s">
        <v>228</v>
      </c>
      <c r="BP21" t="s">
        <v>1101</v>
      </c>
      <c r="BQ21" t="s">
        <v>78</v>
      </c>
      <c r="BR21" s="3" t="s">
        <v>1102</v>
      </c>
      <c r="BS21" t="s">
        <v>107</v>
      </c>
      <c r="BT21">
        <v>4</v>
      </c>
      <c r="BU21" t="s">
        <v>136</v>
      </c>
      <c r="BV21" t="s">
        <v>104</v>
      </c>
      <c r="BW21" t="s">
        <v>96</v>
      </c>
      <c r="BX21" t="s">
        <v>63</v>
      </c>
      <c r="BY21" t="s">
        <v>462</v>
      </c>
      <c r="BZ21">
        <v>2</v>
      </c>
      <c r="CA21" t="s">
        <v>1103</v>
      </c>
      <c r="CB21" s="3" t="s">
        <v>142</v>
      </c>
      <c r="CC21" s="3" t="s">
        <v>80</v>
      </c>
      <c r="CD21" s="3" t="s">
        <v>225</v>
      </c>
      <c r="CE21">
        <v>200</v>
      </c>
      <c r="CF21" s="3" t="s">
        <v>664</v>
      </c>
      <c r="CG21" s="3" t="s">
        <v>970</v>
      </c>
      <c r="CH21" s="3" t="s">
        <v>677</v>
      </c>
      <c r="CI21" t="s">
        <v>63</v>
      </c>
      <c r="CJ21" t="s">
        <v>66</v>
      </c>
      <c r="CK21" t="s">
        <v>66</v>
      </c>
      <c r="CL21" t="s">
        <v>66</v>
      </c>
      <c r="CM21" t="s">
        <v>66</v>
      </c>
      <c r="CN21" t="s">
        <v>66</v>
      </c>
      <c r="CO21" t="s">
        <v>66</v>
      </c>
      <c r="CP21" t="s">
        <v>66</v>
      </c>
      <c r="CQ21" t="s">
        <v>66</v>
      </c>
      <c r="CR21" t="s">
        <v>66</v>
      </c>
      <c r="CS21" t="s">
        <v>66</v>
      </c>
      <c r="CT21" t="s">
        <v>66</v>
      </c>
      <c r="CU21" t="s">
        <v>66</v>
      </c>
      <c r="CV21" s="3" t="s">
        <v>1104</v>
      </c>
    </row>
    <row r="22" spans="1:100" x14ac:dyDescent="0.25">
      <c r="A22" t="s">
        <v>1105</v>
      </c>
      <c r="B22" t="s">
        <v>1106</v>
      </c>
      <c r="C22" s="1">
        <v>45775</v>
      </c>
      <c r="D22" t="s">
        <v>1107</v>
      </c>
      <c r="E22">
        <v>22087712</v>
      </c>
      <c r="F22">
        <v>40</v>
      </c>
      <c r="G22">
        <v>40</v>
      </c>
      <c r="H22" t="s">
        <v>850</v>
      </c>
      <c r="I22" t="s">
        <v>850</v>
      </c>
      <c r="J22" t="s">
        <v>1108</v>
      </c>
      <c r="K22" s="1">
        <v>21612</v>
      </c>
      <c r="L22" s="15">
        <f t="shared" si="0"/>
        <v>66</v>
      </c>
      <c r="M22" t="s">
        <v>59</v>
      </c>
      <c r="N22" t="s">
        <v>108</v>
      </c>
      <c r="O22" t="s">
        <v>60</v>
      </c>
      <c r="P22" t="s">
        <v>61</v>
      </c>
      <c r="Q22" t="s">
        <v>61</v>
      </c>
      <c r="R22" t="s">
        <v>285</v>
      </c>
      <c r="S22" t="s">
        <v>61</v>
      </c>
      <c r="T22" t="s">
        <v>915</v>
      </c>
      <c r="U22" t="s">
        <v>61</v>
      </c>
      <c r="V22" t="s">
        <v>1543</v>
      </c>
      <c r="W22" t="s">
        <v>1722</v>
      </c>
      <c r="X22" t="s">
        <v>66</v>
      </c>
      <c r="Y22" t="s">
        <v>66</v>
      </c>
      <c r="Z22" t="s">
        <v>66</v>
      </c>
      <c r="AA22" t="s">
        <v>66</v>
      </c>
      <c r="AB22" t="s">
        <v>63</v>
      </c>
      <c r="AC22" t="s">
        <v>66</v>
      </c>
      <c r="AD22">
        <v>1</v>
      </c>
      <c r="AE22">
        <v>1</v>
      </c>
      <c r="AF22" t="s">
        <v>61</v>
      </c>
      <c r="AG22" t="s">
        <v>132</v>
      </c>
      <c r="AH22" t="s">
        <v>63</v>
      </c>
      <c r="AI22" t="s">
        <v>66</v>
      </c>
      <c r="AJ22" t="s">
        <v>61</v>
      </c>
      <c r="AK22" t="s">
        <v>66</v>
      </c>
      <c r="AL22" t="s">
        <v>61</v>
      </c>
      <c r="AM22" t="s">
        <v>66</v>
      </c>
      <c r="AN22">
        <v>2</v>
      </c>
      <c r="AO22" t="s">
        <v>61</v>
      </c>
      <c r="AP22" t="s">
        <v>1109</v>
      </c>
      <c r="AQ22" t="s">
        <v>1110</v>
      </c>
      <c r="AR22" t="s">
        <v>63</v>
      </c>
      <c r="AS22" t="s">
        <v>63</v>
      </c>
      <c r="AT22" t="s">
        <v>61</v>
      </c>
      <c r="AU22">
        <v>6</v>
      </c>
      <c r="AV22" t="s">
        <v>1111</v>
      </c>
      <c r="AW22" t="s">
        <v>93</v>
      </c>
      <c r="AX22" t="s">
        <v>63</v>
      </c>
      <c r="AY22" t="s">
        <v>63</v>
      </c>
      <c r="AZ22" t="s">
        <v>61</v>
      </c>
      <c r="BA22">
        <v>3</v>
      </c>
      <c r="BB22">
        <v>140</v>
      </c>
      <c r="BC22" t="s">
        <v>70</v>
      </c>
      <c r="BD22">
        <v>3</v>
      </c>
      <c r="BE22" t="s">
        <v>136</v>
      </c>
      <c r="BF22" t="s">
        <v>104</v>
      </c>
      <c r="BG22" t="s">
        <v>71</v>
      </c>
      <c r="BH22" t="s">
        <v>63</v>
      </c>
      <c r="BI22" t="s">
        <v>254</v>
      </c>
      <c r="BJ22">
        <v>4</v>
      </c>
      <c r="BK22" t="s">
        <v>948</v>
      </c>
      <c r="BL22">
        <v>30</v>
      </c>
      <c r="BM22" t="s">
        <v>143</v>
      </c>
      <c r="BN22" s="3" t="s">
        <v>837</v>
      </c>
      <c r="BO22" t="s">
        <v>907</v>
      </c>
      <c r="BP22" t="s">
        <v>1112</v>
      </c>
      <c r="BQ22" t="s">
        <v>78</v>
      </c>
      <c r="BR22" s="3" t="s">
        <v>1113</v>
      </c>
      <c r="BS22" t="s">
        <v>894</v>
      </c>
      <c r="BT22">
        <v>4</v>
      </c>
      <c r="BU22" t="s">
        <v>136</v>
      </c>
      <c r="BV22" t="s">
        <v>104</v>
      </c>
      <c r="BW22" t="s">
        <v>163</v>
      </c>
      <c r="BX22" t="s">
        <v>63</v>
      </c>
      <c r="BY22" t="s">
        <v>895</v>
      </c>
      <c r="BZ22" t="s">
        <v>1114</v>
      </c>
      <c r="CA22" t="s">
        <v>66</v>
      </c>
      <c r="CB22">
        <v>4</v>
      </c>
      <c r="CC22" t="s">
        <v>66</v>
      </c>
      <c r="CD22" t="s">
        <v>66</v>
      </c>
      <c r="CE22" t="s">
        <v>66</v>
      </c>
      <c r="CF22" t="s">
        <v>256</v>
      </c>
      <c r="CG22" t="s">
        <v>78</v>
      </c>
      <c r="CH22">
        <v>3.5</v>
      </c>
      <c r="CI22" t="s">
        <v>1115</v>
      </c>
      <c r="CJ22" t="s">
        <v>96</v>
      </c>
      <c r="CK22" t="s">
        <v>63</v>
      </c>
      <c r="CL22" t="s">
        <v>895</v>
      </c>
      <c r="CM22">
        <v>4</v>
      </c>
      <c r="CN22" t="s">
        <v>1116</v>
      </c>
      <c r="CO22">
        <v>2</v>
      </c>
      <c r="CP22" s="3" t="s">
        <v>80</v>
      </c>
      <c r="CQ22" s="3" t="s">
        <v>80</v>
      </c>
      <c r="CR22">
        <v>1000</v>
      </c>
      <c r="CS22" t="s">
        <v>343</v>
      </c>
      <c r="CT22" t="s">
        <v>78</v>
      </c>
      <c r="CU22" s="3" t="s">
        <v>103</v>
      </c>
      <c r="CV22" s="18" t="s">
        <v>1117</v>
      </c>
    </row>
    <row r="23" spans="1:100" x14ac:dyDescent="0.25">
      <c r="A23" t="s">
        <v>1118</v>
      </c>
      <c r="B23" t="s">
        <v>1106</v>
      </c>
      <c r="C23" s="1">
        <v>45775</v>
      </c>
      <c r="D23" t="s">
        <v>1119</v>
      </c>
      <c r="E23">
        <v>22299143</v>
      </c>
      <c r="F23">
        <v>32</v>
      </c>
      <c r="G23">
        <v>25</v>
      </c>
      <c r="H23" t="s">
        <v>850</v>
      </c>
      <c r="I23" t="s">
        <v>850</v>
      </c>
      <c r="J23" t="s">
        <v>850</v>
      </c>
      <c r="K23" s="1">
        <v>27147</v>
      </c>
      <c r="L23" s="15">
        <f t="shared" si="0"/>
        <v>51</v>
      </c>
      <c r="M23" t="s">
        <v>59</v>
      </c>
      <c r="N23" t="s">
        <v>108</v>
      </c>
      <c r="O23" t="s">
        <v>60</v>
      </c>
      <c r="P23" t="s">
        <v>61</v>
      </c>
      <c r="Q23" t="s">
        <v>61</v>
      </c>
      <c r="R23" t="s">
        <v>62</v>
      </c>
      <c r="S23" t="s">
        <v>61</v>
      </c>
      <c r="T23" t="s">
        <v>932</v>
      </c>
      <c r="U23" t="s">
        <v>61</v>
      </c>
      <c r="V23" t="s">
        <v>1723</v>
      </c>
      <c r="W23" t="s">
        <v>1724</v>
      </c>
      <c r="X23" t="s">
        <v>66</v>
      </c>
      <c r="Y23" t="s">
        <v>66</v>
      </c>
      <c r="Z23" t="s">
        <v>66</v>
      </c>
      <c r="AA23" t="s">
        <v>66</v>
      </c>
      <c r="AB23" t="s">
        <v>63</v>
      </c>
      <c r="AC23" t="s">
        <v>66</v>
      </c>
      <c r="AD23">
        <v>6</v>
      </c>
      <c r="AE23">
        <v>5</v>
      </c>
      <c r="AF23" t="s">
        <v>61</v>
      </c>
      <c r="AG23" t="s">
        <v>132</v>
      </c>
      <c r="AH23" t="s">
        <v>63</v>
      </c>
      <c r="AI23" t="s">
        <v>63</v>
      </c>
      <c r="AJ23" t="s">
        <v>1120</v>
      </c>
      <c r="AK23" t="s">
        <v>1121</v>
      </c>
      <c r="AL23" t="s">
        <v>61</v>
      </c>
      <c r="AM23" t="s">
        <v>66</v>
      </c>
      <c r="AN23">
        <v>1</v>
      </c>
      <c r="AO23" t="s">
        <v>61</v>
      </c>
      <c r="AP23" t="s">
        <v>1122</v>
      </c>
      <c r="AQ23" t="s">
        <v>1123</v>
      </c>
      <c r="AR23" t="s">
        <v>63</v>
      </c>
      <c r="AS23" t="s">
        <v>63</v>
      </c>
      <c r="AT23" t="s">
        <v>61</v>
      </c>
      <c r="AU23">
        <v>6</v>
      </c>
      <c r="AV23" t="s">
        <v>66</v>
      </c>
      <c r="AW23" t="s">
        <v>66</v>
      </c>
      <c r="AX23" t="s">
        <v>66</v>
      </c>
      <c r="AY23" t="s">
        <v>66</v>
      </c>
      <c r="AZ23" t="s">
        <v>66</v>
      </c>
      <c r="BA23" t="s">
        <v>66</v>
      </c>
      <c r="BB23">
        <v>140</v>
      </c>
      <c r="BC23" t="s">
        <v>70</v>
      </c>
      <c r="BD23">
        <v>3</v>
      </c>
      <c r="BE23" t="s">
        <v>1124</v>
      </c>
      <c r="BF23" t="s">
        <v>104</v>
      </c>
      <c r="BG23" t="s">
        <v>71</v>
      </c>
      <c r="BH23" t="s">
        <v>63</v>
      </c>
      <c r="BI23" t="s">
        <v>257</v>
      </c>
      <c r="BJ23" s="3" t="s">
        <v>370</v>
      </c>
      <c r="BK23" t="s">
        <v>870</v>
      </c>
      <c r="BL23" t="s">
        <v>83</v>
      </c>
      <c r="BM23" t="s">
        <v>143</v>
      </c>
      <c r="BN23" s="3" t="s">
        <v>225</v>
      </c>
      <c r="BO23">
        <v>100</v>
      </c>
      <c r="BP23">
        <v>500</v>
      </c>
      <c r="BQ23" t="s">
        <v>78</v>
      </c>
      <c r="BR23">
        <v>30</v>
      </c>
      <c r="BS23" t="s">
        <v>63</v>
      </c>
      <c r="BT23" t="s">
        <v>66</v>
      </c>
      <c r="BU23" t="s">
        <v>66</v>
      </c>
      <c r="BV23" t="s">
        <v>66</v>
      </c>
      <c r="BW23" t="s">
        <v>66</v>
      </c>
      <c r="BX23" t="s">
        <v>66</v>
      </c>
      <c r="BY23" t="s">
        <v>66</v>
      </c>
      <c r="BZ23" t="s">
        <v>66</v>
      </c>
      <c r="CA23" t="s">
        <v>66</v>
      </c>
      <c r="CB23" t="s">
        <v>66</v>
      </c>
      <c r="CC23" t="s">
        <v>66</v>
      </c>
      <c r="CD23" t="s">
        <v>66</v>
      </c>
      <c r="CE23" t="s">
        <v>66</v>
      </c>
      <c r="CF23" t="s">
        <v>66</v>
      </c>
      <c r="CG23" t="s">
        <v>66</v>
      </c>
      <c r="CH23" t="s">
        <v>66</v>
      </c>
      <c r="CI23" t="s">
        <v>63</v>
      </c>
      <c r="CJ23" t="s">
        <v>66</v>
      </c>
      <c r="CK23" t="s">
        <v>66</v>
      </c>
      <c r="CL23" t="s">
        <v>66</v>
      </c>
      <c r="CM23" t="s">
        <v>66</v>
      </c>
      <c r="CN23" t="s">
        <v>66</v>
      </c>
      <c r="CO23" t="s">
        <v>66</v>
      </c>
      <c r="CP23" t="s">
        <v>66</v>
      </c>
      <c r="CQ23" t="s">
        <v>66</v>
      </c>
      <c r="CR23" t="s">
        <v>66</v>
      </c>
      <c r="CS23" t="s">
        <v>66</v>
      </c>
      <c r="CT23" t="s">
        <v>66</v>
      </c>
      <c r="CU23" t="s">
        <v>66</v>
      </c>
      <c r="CV23" s="3" t="s">
        <v>1125</v>
      </c>
    </row>
    <row r="24" spans="1:100" x14ac:dyDescent="0.25">
      <c r="A24" t="s">
        <v>1126</v>
      </c>
      <c r="B24" t="s">
        <v>1106</v>
      </c>
      <c r="C24" s="1">
        <v>45775</v>
      </c>
      <c r="D24" t="s">
        <v>1127</v>
      </c>
      <c r="E24" s="10" t="s">
        <v>1128</v>
      </c>
      <c r="F24">
        <v>35</v>
      </c>
      <c r="G24">
        <v>25</v>
      </c>
      <c r="H24" t="s">
        <v>850</v>
      </c>
      <c r="I24" t="s">
        <v>850</v>
      </c>
      <c r="J24" t="s">
        <v>850</v>
      </c>
      <c r="K24" s="1">
        <v>25493</v>
      </c>
      <c r="L24" s="15">
        <f t="shared" si="0"/>
        <v>55</v>
      </c>
      <c r="M24" t="s">
        <v>59</v>
      </c>
      <c r="N24" t="s">
        <v>89</v>
      </c>
      <c r="O24" t="s">
        <v>322</v>
      </c>
      <c r="P24" t="s">
        <v>61</v>
      </c>
      <c r="Q24" t="s">
        <v>61</v>
      </c>
      <c r="R24" t="s">
        <v>426</v>
      </c>
      <c r="S24" t="s">
        <v>61</v>
      </c>
      <c r="T24" t="s">
        <v>903</v>
      </c>
      <c r="U24" t="s">
        <v>61</v>
      </c>
      <c r="V24" t="s">
        <v>1723</v>
      </c>
      <c r="W24" t="s">
        <v>1736</v>
      </c>
      <c r="X24" t="s">
        <v>66</v>
      </c>
      <c r="Y24" t="s">
        <v>66</v>
      </c>
      <c r="Z24" t="s">
        <v>66</v>
      </c>
      <c r="AA24" t="s">
        <v>66</v>
      </c>
      <c r="AB24" t="s">
        <v>61</v>
      </c>
      <c r="AC24" t="s">
        <v>1129</v>
      </c>
      <c r="AD24">
        <v>1</v>
      </c>
      <c r="AE24">
        <v>3</v>
      </c>
      <c r="AF24" t="s">
        <v>63</v>
      </c>
      <c r="AG24" t="s">
        <v>66</v>
      </c>
      <c r="AH24" t="s">
        <v>63</v>
      </c>
      <c r="AI24" t="s">
        <v>66</v>
      </c>
      <c r="AJ24" t="s">
        <v>61</v>
      </c>
      <c r="AK24" t="s">
        <v>66</v>
      </c>
      <c r="AL24" t="s">
        <v>61</v>
      </c>
      <c r="AM24" t="s">
        <v>66</v>
      </c>
      <c r="AN24">
        <v>0</v>
      </c>
      <c r="AO24" t="s">
        <v>66</v>
      </c>
      <c r="AP24" t="s">
        <v>1130</v>
      </c>
      <c r="AQ24" t="s">
        <v>1131</v>
      </c>
      <c r="AR24" t="s">
        <v>63</v>
      </c>
      <c r="AS24" t="s">
        <v>63</v>
      </c>
      <c r="AT24" t="s">
        <v>61</v>
      </c>
      <c r="AU24">
        <v>8</v>
      </c>
      <c r="AV24" t="s">
        <v>66</v>
      </c>
      <c r="AW24" t="s">
        <v>66</v>
      </c>
      <c r="AX24" t="s">
        <v>66</v>
      </c>
      <c r="AY24" t="s">
        <v>66</v>
      </c>
      <c r="AZ24" t="s">
        <v>66</v>
      </c>
      <c r="BA24" t="s">
        <v>66</v>
      </c>
      <c r="BB24">
        <v>200</v>
      </c>
      <c r="BC24" t="s">
        <v>70</v>
      </c>
      <c r="BD24">
        <v>3</v>
      </c>
      <c r="BE24" t="s">
        <v>672</v>
      </c>
      <c r="BF24" t="s">
        <v>104</v>
      </c>
      <c r="BG24" t="s">
        <v>71</v>
      </c>
      <c r="BH24" t="s">
        <v>63</v>
      </c>
      <c r="BI24" t="s">
        <v>257</v>
      </c>
      <c r="BJ24">
        <v>6</v>
      </c>
      <c r="BK24" t="s">
        <v>860</v>
      </c>
      <c r="BL24" t="s">
        <v>83</v>
      </c>
      <c r="BM24" t="s">
        <v>73</v>
      </c>
      <c r="BN24">
        <v>3</v>
      </c>
      <c r="BO24">
        <v>150</v>
      </c>
      <c r="BP24">
        <v>600</v>
      </c>
      <c r="BQ24" t="s">
        <v>78</v>
      </c>
      <c r="BR24" s="3" t="s">
        <v>136</v>
      </c>
      <c r="BS24" t="s">
        <v>107</v>
      </c>
      <c r="BT24">
        <v>4</v>
      </c>
      <c r="BU24" t="s">
        <v>672</v>
      </c>
      <c r="BV24" t="s">
        <v>104</v>
      </c>
      <c r="BW24" t="s">
        <v>96</v>
      </c>
      <c r="BX24" t="s">
        <v>63</v>
      </c>
      <c r="BY24" t="s">
        <v>174</v>
      </c>
      <c r="BZ24">
        <v>6</v>
      </c>
      <c r="CA24" t="s">
        <v>1132</v>
      </c>
      <c r="CB24" t="s">
        <v>83</v>
      </c>
      <c r="CC24" s="3" t="s">
        <v>968</v>
      </c>
      <c r="CD24">
        <v>2</v>
      </c>
      <c r="CE24">
        <v>1000</v>
      </c>
      <c r="CF24">
        <v>2000</v>
      </c>
      <c r="CG24" t="s">
        <v>970</v>
      </c>
      <c r="CH24" s="3" t="s">
        <v>837</v>
      </c>
      <c r="CI24" t="s">
        <v>63</v>
      </c>
      <c r="CJ24" t="s">
        <v>66</v>
      </c>
      <c r="CK24" t="s">
        <v>66</v>
      </c>
      <c r="CL24" t="s">
        <v>66</v>
      </c>
      <c r="CM24" t="s">
        <v>66</v>
      </c>
      <c r="CN24" t="s">
        <v>66</v>
      </c>
      <c r="CO24" t="s">
        <v>66</v>
      </c>
      <c r="CP24" t="s">
        <v>66</v>
      </c>
      <c r="CQ24" t="s">
        <v>66</v>
      </c>
      <c r="CR24" t="s">
        <v>66</v>
      </c>
      <c r="CS24" t="s">
        <v>66</v>
      </c>
      <c r="CT24" t="s">
        <v>66</v>
      </c>
      <c r="CU24" t="s">
        <v>66</v>
      </c>
      <c r="CV24" s="18" t="s">
        <v>1133</v>
      </c>
    </row>
    <row r="25" spans="1:100" x14ac:dyDescent="0.25">
      <c r="A25" t="s">
        <v>1134</v>
      </c>
      <c r="B25" t="s">
        <v>1106</v>
      </c>
      <c r="C25" s="1">
        <v>45776</v>
      </c>
      <c r="D25" t="s">
        <v>1135</v>
      </c>
      <c r="E25">
        <v>21530211</v>
      </c>
      <c r="F25">
        <v>26</v>
      </c>
      <c r="G25">
        <v>26</v>
      </c>
      <c r="H25" t="s">
        <v>850</v>
      </c>
      <c r="I25" t="s">
        <v>850</v>
      </c>
      <c r="J25" t="s">
        <v>850</v>
      </c>
      <c r="K25" s="1">
        <v>24810</v>
      </c>
      <c r="L25" s="15">
        <f t="shared" si="0"/>
        <v>57</v>
      </c>
      <c r="M25" t="s">
        <v>59</v>
      </c>
      <c r="N25" t="s">
        <v>108</v>
      </c>
      <c r="O25" t="s">
        <v>60</v>
      </c>
      <c r="P25" t="s">
        <v>61</v>
      </c>
      <c r="Q25" t="s">
        <v>61</v>
      </c>
      <c r="R25" t="s">
        <v>129</v>
      </c>
      <c r="S25" t="s">
        <v>61</v>
      </c>
      <c r="T25" t="s">
        <v>932</v>
      </c>
      <c r="U25" t="s">
        <v>61</v>
      </c>
      <c r="V25" t="s">
        <v>1723</v>
      </c>
      <c r="W25" t="s">
        <v>1736</v>
      </c>
      <c r="X25" t="s">
        <v>66</v>
      </c>
      <c r="Y25" t="s">
        <v>66</v>
      </c>
      <c r="Z25" t="s">
        <v>66</v>
      </c>
      <c r="AA25" t="s">
        <v>66</v>
      </c>
      <c r="AB25" t="s">
        <v>61</v>
      </c>
      <c r="AC25" t="s">
        <v>975</v>
      </c>
      <c r="AD25">
        <v>3</v>
      </c>
      <c r="AE25">
        <v>3</v>
      </c>
      <c r="AF25" t="s">
        <v>61</v>
      </c>
      <c r="AG25" t="s">
        <v>1136</v>
      </c>
      <c r="AH25" t="s">
        <v>61</v>
      </c>
      <c r="AI25" t="s">
        <v>1137</v>
      </c>
      <c r="AJ25" t="s">
        <v>61</v>
      </c>
      <c r="AK25" t="s">
        <v>66</v>
      </c>
      <c r="AL25" t="s">
        <v>61</v>
      </c>
      <c r="AM25" t="s">
        <v>66</v>
      </c>
      <c r="AN25">
        <v>0</v>
      </c>
      <c r="AO25" t="s">
        <v>66</v>
      </c>
      <c r="AP25" t="s">
        <v>1138</v>
      </c>
      <c r="AQ25" t="s">
        <v>1139</v>
      </c>
      <c r="AR25" t="s">
        <v>63</v>
      </c>
      <c r="AS25" t="s">
        <v>63</v>
      </c>
      <c r="AT25" t="s">
        <v>61</v>
      </c>
      <c r="AU25">
        <v>3</v>
      </c>
      <c r="AV25" t="s">
        <v>66</v>
      </c>
      <c r="AW25" t="s">
        <v>66</v>
      </c>
      <c r="AX25" t="s">
        <v>66</v>
      </c>
      <c r="AY25" t="s">
        <v>66</v>
      </c>
      <c r="AZ25" t="s">
        <v>66</v>
      </c>
      <c r="BA25" t="s">
        <v>66</v>
      </c>
      <c r="BB25">
        <v>192</v>
      </c>
      <c r="BC25" t="s">
        <v>70</v>
      </c>
      <c r="BD25">
        <v>3</v>
      </c>
      <c r="BE25" t="s">
        <v>1140</v>
      </c>
      <c r="BF25" t="s">
        <v>104</v>
      </c>
      <c r="BG25" t="s">
        <v>71</v>
      </c>
      <c r="BH25" t="s">
        <v>63</v>
      </c>
      <c r="BI25" t="s">
        <v>554</v>
      </c>
      <c r="BJ25" s="3">
        <v>6</v>
      </c>
      <c r="BK25" t="s">
        <v>1141</v>
      </c>
      <c r="BL25" t="s">
        <v>376</v>
      </c>
      <c r="BM25" t="s">
        <v>73</v>
      </c>
      <c r="BN25" s="3" t="s">
        <v>487</v>
      </c>
      <c r="BO25">
        <v>150</v>
      </c>
      <c r="BP25">
        <v>700</v>
      </c>
      <c r="BQ25" t="s">
        <v>78</v>
      </c>
      <c r="BR25">
        <v>25</v>
      </c>
      <c r="BS25" t="s">
        <v>63</v>
      </c>
      <c r="BT25" t="s">
        <v>66</v>
      </c>
      <c r="BU25" t="s">
        <v>66</v>
      </c>
      <c r="BV25" t="s">
        <v>66</v>
      </c>
      <c r="BW25" t="s">
        <v>66</v>
      </c>
      <c r="BX25" t="s">
        <v>66</v>
      </c>
      <c r="BY25" t="s">
        <v>66</v>
      </c>
      <c r="BZ25" t="s">
        <v>66</v>
      </c>
      <c r="CA25" t="s">
        <v>66</v>
      </c>
      <c r="CB25" t="s">
        <v>66</v>
      </c>
      <c r="CC25" t="s">
        <v>66</v>
      </c>
      <c r="CD25" t="s">
        <v>66</v>
      </c>
      <c r="CE25" t="s">
        <v>66</v>
      </c>
      <c r="CF25" t="s">
        <v>66</v>
      </c>
      <c r="CG25" t="s">
        <v>66</v>
      </c>
      <c r="CH25" t="s">
        <v>66</v>
      </c>
      <c r="CI25" t="s">
        <v>63</v>
      </c>
      <c r="CJ25" t="s">
        <v>66</v>
      </c>
      <c r="CK25" t="s">
        <v>66</v>
      </c>
      <c r="CL25" t="s">
        <v>66</v>
      </c>
      <c r="CM25" t="s">
        <v>66</v>
      </c>
      <c r="CN25" t="s">
        <v>66</v>
      </c>
      <c r="CO25" t="s">
        <v>66</v>
      </c>
      <c r="CP25" t="s">
        <v>66</v>
      </c>
      <c r="CQ25" t="s">
        <v>66</v>
      </c>
      <c r="CR25" t="s">
        <v>66</v>
      </c>
      <c r="CS25" t="s">
        <v>66</v>
      </c>
      <c r="CT25" t="s">
        <v>66</v>
      </c>
      <c r="CU25" t="s">
        <v>66</v>
      </c>
      <c r="CV25" s="18" t="s">
        <v>1142</v>
      </c>
    </row>
    <row r="26" spans="1:100" x14ac:dyDescent="0.25">
      <c r="A26" t="s">
        <v>1143</v>
      </c>
      <c r="B26" t="s">
        <v>1144</v>
      </c>
      <c r="C26" s="1">
        <v>45776</v>
      </c>
      <c r="D26" t="s">
        <v>1145</v>
      </c>
      <c r="E26" s="10" t="s">
        <v>1146</v>
      </c>
      <c r="F26">
        <v>30</v>
      </c>
      <c r="G26">
        <v>30</v>
      </c>
      <c r="H26" t="s">
        <v>850</v>
      </c>
      <c r="I26" t="s">
        <v>850</v>
      </c>
      <c r="J26" t="s">
        <v>1147</v>
      </c>
      <c r="K26" s="1">
        <v>28261</v>
      </c>
      <c r="L26" s="15">
        <f t="shared" si="0"/>
        <v>48</v>
      </c>
      <c r="M26" t="s">
        <v>59</v>
      </c>
      <c r="N26" t="s">
        <v>108</v>
      </c>
      <c r="O26" t="s">
        <v>322</v>
      </c>
      <c r="P26" t="s">
        <v>61</v>
      </c>
      <c r="Q26" t="s">
        <v>61</v>
      </c>
      <c r="R26" t="s">
        <v>62</v>
      </c>
      <c r="S26" t="s">
        <v>61</v>
      </c>
      <c r="T26" t="s">
        <v>93</v>
      </c>
      <c r="U26" t="s">
        <v>63</v>
      </c>
      <c r="V26" t="s">
        <v>66</v>
      </c>
      <c r="W26" t="s">
        <v>66</v>
      </c>
      <c r="X26" t="s">
        <v>66</v>
      </c>
      <c r="Y26" t="s">
        <v>66</v>
      </c>
      <c r="Z26" t="s">
        <v>66</v>
      </c>
      <c r="AA26" t="s">
        <v>66</v>
      </c>
      <c r="AB26" t="s">
        <v>61</v>
      </c>
      <c r="AC26" t="s">
        <v>1148</v>
      </c>
      <c r="AD26">
        <v>3</v>
      </c>
      <c r="AE26">
        <v>3</v>
      </c>
      <c r="AF26" t="s">
        <v>61</v>
      </c>
      <c r="AG26" t="s">
        <v>1149</v>
      </c>
      <c r="AH26" t="s">
        <v>61</v>
      </c>
      <c r="AI26" t="s">
        <v>1150</v>
      </c>
      <c r="AJ26" t="s">
        <v>61</v>
      </c>
      <c r="AK26" t="s">
        <v>66</v>
      </c>
      <c r="AL26" t="s">
        <v>63</v>
      </c>
      <c r="AM26" t="s">
        <v>1151</v>
      </c>
      <c r="AN26">
        <v>1</v>
      </c>
      <c r="AO26" t="s">
        <v>61</v>
      </c>
      <c r="AP26" t="s">
        <v>1152</v>
      </c>
      <c r="AQ26" t="s">
        <v>93</v>
      </c>
      <c r="AR26" t="s">
        <v>63</v>
      </c>
      <c r="AS26" t="s">
        <v>63</v>
      </c>
      <c r="AT26" t="s">
        <v>61</v>
      </c>
      <c r="AU26">
        <v>5</v>
      </c>
      <c r="AV26" t="s">
        <v>66</v>
      </c>
      <c r="AW26" t="s">
        <v>66</v>
      </c>
      <c r="AX26" t="s">
        <v>66</v>
      </c>
      <c r="AY26" t="s">
        <v>66</v>
      </c>
      <c r="AZ26" t="s">
        <v>66</v>
      </c>
      <c r="BA26" t="s">
        <v>66</v>
      </c>
      <c r="BB26" t="s">
        <v>1153</v>
      </c>
      <c r="BC26" t="s">
        <v>70</v>
      </c>
      <c r="BD26">
        <v>4</v>
      </c>
      <c r="BE26" t="s">
        <v>873</v>
      </c>
      <c r="BF26" t="s">
        <v>104</v>
      </c>
      <c r="BG26" t="s">
        <v>71</v>
      </c>
      <c r="BH26" t="s">
        <v>63</v>
      </c>
      <c r="BI26" t="s">
        <v>224</v>
      </c>
      <c r="BJ26">
        <v>4</v>
      </c>
      <c r="BK26" t="s">
        <v>860</v>
      </c>
      <c r="BL26">
        <v>30</v>
      </c>
      <c r="BM26">
        <v>72</v>
      </c>
      <c r="BN26" s="3" t="s">
        <v>623</v>
      </c>
      <c r="BO26" t="s">
        <v>627</v>
      </c>
      <c r="BP26" t="s">
        <v>502</v>
      </c>
      <c r="BQ26" t="s">
        <v>78</v>
      </c>
      <c r="BR26">
        <v>40</v>
      </c>
      <c r="BS26" t="s">
        <v>894</v>
      </c>
      <c r="BT26">
        <v>4</v>
      </c>
      <c r="BU26" t="s">
        <v>873</v>
      </c>
      <c r="BV26" t="s">
        <v>104</v>
      </c>
      <c r="BW26" t="s">
        <v>163</v>
      </c>
      <c r="BX26" t="s">
        <v>63</v>
      </c>
      <c r="BY26" t="s">
        <v>1154</v>
      </c>
      <c r="BZ26">
        <v>15</v>
      </c>
      <c r="CA26" t="s">
        <v>66</v>
      </c>
      <c r="CB26">
        <v>3</v>
      </c>
      <c r="CC26" t="s">
        <v>66</v>
      </c>
      <c r="CD26" t="s">
        <v>66</v>
      </c>
      <c r="CE26" t="s">
        <v>66</v>
      </c>
      <c r="CF26" t="s">
        <v>275</v>
      </c>
      <c r="CG26" t="s">
        <v>78</v>
      </c>
      <c r="CH26" s="3" t="s">
        <v>225</v>
      </c>
      <c r="CI26" t="s">
        <v>950</v>
      </c>
      <c r="CJ26" s="3" t="s">
        <v>79</v>
      </c>
      <c r="CK26" s="3" t="s">
        <v>897</v>
      </c>
      <c r="CL26" s="3" t="s">
        <v>624</v>
      </c>
      <c r="CM26">
        <v>6</v>
      </c>
      <c r="CN26" s="3" t="s">
        <v>1155</v>
      </c>
      <c r="CO26">
        <v>10</v>
      </c>
      <c r="CP26">
        <v>3</v>
      </c>
      <c r="CQ26" s="3" t="s">
        <v>222</v>
      </c>
      <c r="CR26">
        <v>300</v>
      </c>
      <c r="CS26">
        <v>5000</v>
      </c>
      <c r="CT26" t="s">
        <v>78</v>
      </c>
      <c r="CU26">
        <v>10</v>
      </c>
    </row>
    <row r="27" spans="1:100" x14ac:dyDescent="0.25">
      <c r="A27" t="s">
        <v>1156</v>
      </c>
      <c r="B27" t="s">
        <v>1144</v>
      </c>
      <c r="C27" s="1">
        <v>45776</v>
      </c>
      <c r="D27" t="s">
        <v>1157</v>
      </c>
      <c r="E27">
        <v>42168056</v>
      </c>
      <c r="F27">
        <v>20</v>
      </c>
      <c r="G27">
        <v>20</v>
      </c>
      <c r="H27" t="s">
        <v>850</v>
      </c>
      <c r="I27" t="s">
        <v>850</v>
      </c>
      <c r="J27" t="s">
        <v>1056</v>
      </c>
      <c r="K27" s="1">
        <v>30018</v>
      </c>
      <c r="L27" s="15">
        <f t="shared" si="0"/>
        <v>43</v>
      </c>
      <c r="M27" t="s">
        <v>59</v>
      </c>
      <c r="N27" t="s">
        <v>89</v>
      </c>
      <c r="O27" t="s">
        <v>60</v>
      </c>
      <c r="P27" t="s">
        <v>61</v>
      </c>
      <c r="Q27" t="s">
        <v>61</v>
      </c>
      <c r="R27" t="s">
        <v>285</v>
      </c>
      <c r="S27" t="s">
        <v>61</v>
      </c>
      <c r="T27" t="s">
        <v>932</v>
      </c>
      <c r="U27" t="s">
        <v>61</v>
      </c>
      <c r="V27" t="s">
        <v>1543</v>
      </c>
      <c r="W27" t="s">
        <v>1722</v>
      </c>
      <c r="X27" t="s">
        <v>66</v>
      </c>
      <c r="Y27" t="s">
        <v>66</v>
      </c>
      <c r="Z27" t="s">
        <v>66</v>
      </c>
      <c r="AA27" t="s">
        <v>66</v>
      </c>
      <c r="AB27" t="s">
        <v>61</v>
      </c>
      <c r="AC27" t="s">
        <v>1158</v>
      </c>
      <c r="AD27">
        <v>2</v>
      </c>
      <c r="AE27">
        <v>0</v>
      </c>
      <c r="AF27" t="s">
        <v>61</v>
      </c>
      <c r="AG27" t="s">
        <v>132</v>
      </c>
      <c r="AH27" t="s">
        <v>63</v>
      </c>
      <c r="AI27" t="s">
        <v>66</v>
      </c>
      <c r="AJ27" t="s">
        <v>63</v>
      </c>
      <c r="AK27" t="s">
        <v>93</v>
      </c>
      <c r="AL27" t="s">
        <v>61</v>
      </c>
      <c r="AM27" t="s">
        <v>66</v>
      </c>
      <c r="AN27">
        <v>1</v>
      </c>
      <c r="AO27" t="s">
        <v>61</v>
      </c>
      <c r="AP27" t="s">
        <v>1159</v>
      </c>
      <c r="AQ27" t="s">
        <v>1160</v>
      </c>
      <c r="AR27" t="s">
        <v>63</v>
      </c>
      <c r="AS27" t="s">
        <v>63</v>
      </c>
      <c r="AT27" t="s">
        <v>61</v>
      </c>
      <c r="AU27">
        <v>4</v>
      </c>
      <c r="AV27" t="s">
        <v>66</v>
      </c>
      <c r="AW27" t="s">
        <v>66</v>
      </c>
      <c r="AX27" t="s">
        <v>66</v>
      </c>
      <c r="AY27" t="s">
        <v>66</v>
      </c>
      <c r="AZ27" t="s">
        <v>66</v>
      </c>
      <c r="BA27" t="s">
        <v>66</v>
      </c>
      <c r="BB27" t="s">
        <v>1161</v>
      </c>
      <c r="BC27" t="s">
        <v>70</v>
      </c>
      <c r="BD27">
        <v>4</v>
      </c>
      <c r="BE27" t="s">
        <v>672</v>
      </c>
      <c r="BF27" t="s">
        <v>104</v>
      </c>
      <c r="BG27" t="s">
        <v>71</v>
      </c>
      <c r="BH27" t="s">
        <v>63</v>
      </c>
      <c r="BI27" t="s">
        <v>98</v>
      </c>
      <c r="BJ27" s="3" t="s">
        <v>467</v>
      </c>
      <c r="BK27" t="s">
        <v>948</v>
      </c>
      <c r="BL27" t="s">
        <v>635</v>
      </c>
      <c r="BM27">
        <v>72</v>
      </c>
      <c r="BN27" s="3" t="s">
        <v>370</v>
      </c>
      <c r="BO27">
        <v>50</v>
      </c>
      <c r="BP27" t="s">
        <v>345</v>
      </c>
      <c r="BQ27" t="s">
        <v>78</v>
      </c>
      <c r="BR27" t="s">
        <v>1102</v>
      </c>
      <c r="BS27" t="s">
        <v>894</v>
      </c>
      <c r="BT27">
        <v>4</v>
      </c>
      <c r="BU27" t="s">
        <v>672</v>
      </c>
      <c r="BV27" t="s">
        <v>104</v>
      </c>
      <c r="BW27" t="s">
        <v>163</v>
      </c>
      <c r="BX27" t="s">
        <v>63</v>
      </c>
      <c r="BY27" t="s">
        <v>895</v>
      </c>
      <c r="BZ27" t="s">
        <v>1162</v>
      </c>
      <c r="CA27" t="s">
        <v>66</v>
      </c>
      <c r="CB27">
        <v>7</v>
      </c>
      <c r="CC27" t="s">
        <v>66</v>
      </c>
      <c r="CD27" t="s">
        <v>66</v>
      </c>
      <c r="CE27" t="s">
        <v>66</v>
      </c>
      <c r="CF27" t="s">
        <v>343</v>
      </c>
      <c r="CG27" t="s">
        <v>78</v>
      </c>
      <c r="CH27" s="3" t="s">
        <v>225</v>
      </c>
      <c r="CI27" t="s">
        <v>63</v>
      </c>
      <c r="CJ27" t="s">
        <v>66</v>
      </c>
      <c r="CK27" t="s">
        <v>66</v>
      </c>
      <c r="CL27" t="s">
        <v>66</v>
      </c>
      <c r="CM27" t="s">
        <v>66</v>
      </c>
      <c r="CN27" t="s">
        <v>66</v>
      </c>
      <c r="CO27" t="s">
        <v>66</v>
      </c>
      <c r="CP27" t="s">
        <v>66</v>
      </c>
      <c r="CQ27" t="s">
        <v>66</v>
      </c>
      <c r="CR27" t="s">
        <v>66</v>
      </c>
      <c r="CS27" t="s">
        <v>66</v>
      </c>
      <c r="CT27" t="s">
        <v>66</v>
      </c>
      <c r="CU27" t="s">
        <v>66</v>
      </c>
      <c r="CV27" s="3" t="s">
        <v>1163</v>
      </c>
    </row>
    <row r="28" spans="1:100" x14ac:dyDescent="0.25">
      <c r="A28" t="s">
        <v>1164</v>
      </c>
      <c r="B28" t="s">
        <v>1144</v>
      </c>
      <c r="C28" s="1">
        <v>45776</v>
      </c>
      <c r="D28" t="s">
        <v>1165</v>
      </c>
      <c r="E28">
        <v>40242680</v>
      </c>
      <c r="F28">
        <v>30</v>
      </c>
      <c r="G28">
        <v>30</v>
      </c>
      <c r="H28" t="s">
        <v>850</v>
      </c>
      <c r="I28" t="s">
        <v>850</v>
      </c>
      <c r="J28" t="s">
        <v>1166</v>
      </c>
      <c r="K28" s="1">
        <v>28867</v>
      </c>
      <c r="L28" s="15">
        <f t="shared" si="0"/>
        <v>46</v>
      </c>
      <c r="M28" t="s">
        <v>59</v>
      </c>
      <c r="N28" t="s">
        <v>108</v>
      </c>
      <c r="O28" t="s">
        <v>60</v>
      </c>
      <c r="P28" t="s">
        <v>61</v>
      </c>
      <c r="Q28" t="s">
        <v>61</v>
      </c>
      <c r="R28" t="s">
        <v>62</v>
      </c>
      <c r="S28" t="s">
        <v>61</v>
      </c>
      <c r="T28" t="s">
        <v>932</v>
      </c>
      <c r="U28" t="s">
        <v>61</v>
      </c>
      <c r="V28" t="s">
        <v>1723</v>
      </c>
      <c r="W28" t="s">
        <v>1724</v>
      </c>
      <c r="X28" t="s">
        <v>1543</v>
      </c>
      <c r="Y28" t="s">
        <v>1722</v>
      </c>
      <c r="Z28" t="s">
        <v>66</v>
      </c>
      <c r="AA28" t="s">
        <v>66</v>
      </c>
      <c r="AB28" t="s">
        <v>63</v>
      </c>
      <c r="AC28" t="s">
        <v>66</v>
      </c>
      <c r="AD28">
        <v>3</v>
      </c>
      <c r="AE28">
        <v>2</v>
      </c>
      <c r="AF28" t="s">
        <v>61</v>
      </c>
      <c r="AG28" t="s">
        <v>132</v>
      </c>
      <c r="AH28" t="s">
        <v>63</v>
      </c>
      <c r="AI28" t="s">
        <v>66</v>
      </c>
      <c r="AJ28" t="s">
        <v>61</v>
      </c>
      <c r="AK28" t="s">
        <v>66</v>
      </c>
      <c r="AL28" t="s">
        <v>61</v>
      </c>
      <c r="AM28" t="s">
        <v>66</v>
      </c>
      <c r="AN28">
        <v>1</v>
      </c>
      <c r="AO28" t="s">
        <v>61</v>
      </c>
      <c r="AP28" t="s">
        <v>1167</v>
      </c>
      <c r="AQ28" t="s">
        <v>1168</v>
      </c>
      <c r="AR28" t="s">
        <v>63</v>
      </c>
      <c r="AS28" t="s">
        <v>63</v>
      </c>
      <c r="AT28" t="s">
        <v>61</v>
      </c>
      <c r="AU28">
        <v>3</v>
      </c>
      <c r="AV28" t="s">
        <v>66</v>
      </c>
      <c r="AW28" t="s">
        <v>66</v>
      </c>
      <c r="AX28" t="s">
        <v>66</v>
      </c>
      <c r="AY28" t="s">
        <v>66</v>
      </c>
      <c r="AZ28" t="s">
        <v>66</v>
      </c>
      <c r="BA28" t="s">
        <v>66</v>
      </c>
      <c r="BB28">
        <v>120</v>
      </c>
      <c r="BC28" t="s">
        <v>70</v>
      </c>
      <c r="BD28">
        <v>4</v>
      </c>
      <c r="BE28" t="s">
        <v>388</v>
      </c>
      <c r="BF28" t="s">
        <v>104</v>
      </c>
      <c r="BG28" t="s">
        <v>71</v>
      </c>
      <c r="BH28" t="s">
        <v>63</v>
      </c>
      <c r="BI28" t="s">
        <v>98</v>
      </c>
      <c r="BJ28" s="3" t="s">
        <v>77</v>
      </c>
      <c r="BK28" t="s">
        <v>1141</v>
      </c>
      <c r="BL28" t="s">
        <v>1169</v>
      </c>
      <c r="BM28" t="s">
        <v>73</v>
      </c>
      <c r="BN28" s="3" t="s">
        <v>370</v>
      </c>
      <c r="BO28">
        <v>100</v>
      </c>
      <c r="BP28" t="s">
        <v>177</v>
      </c>
      <c r="BQ28" t="s">
        <v>78</v>
      </c>
      <c r="BR28" t="s">
        <v>1102</v>
      </c>
      <c r="BS28" t="s">
        <v>107</v>
      </c>
      <c r="BT28">
        <v>4</v>
      </c>
      <c r="BU28" t="s">
        <v>388</v>
      </c>
      <c r="BV28" t="s">
        <v>104</v>
      </c>
      <c r="BW28" t="s">
        <v>96</v>
      </c>
      <c r="BX28" t="s">
        <v>63</v>
      </c>
      <c r="BY28" t="s">
        <v>895</v>
      </c>
      <c r="BZ28" t="s">
        <v>1162</v>
      </c>
      <c r="CA28" t="s">
        <v>1170</v>
      </c>
      <c r="CB28">
        <v>7</v>
      </c>
      <c r="CC28" s="3" t="s">
        <v>142</v>
      </c>
      <c r="CD28" s="3" t="s">
        <v>222</v>
      </c>
      <c r="CE28" t="s">
        <v>1171</v>
      </c>
      <c r="CF28">
        <v>1000</v>
      </c>
      <c r="CG28" t="s">
        <v>78</v>
      </c>
      <c r="CH28" s="3" t="s">
        <v>1172</v>
      </c>
      <c r="CI28" t="s">
        <v>894</v>
      </c>
      <c r="CJ28" t="s">
        <v>163</v>
      </c>
      <c r="CK28" t="s">
        <v>63</v>
      </c>
      <c r="CL28" t="s">
        <v>98</v>
      </c>
      <c r="CM28" t="s">
        <v>895</v>
      </c>
      <c r="CN28" t="s">
        <v>66</v>
      </c>
      <c r="CO28">
        <v>7</v>
      </c>
      <c r="CP28" t="s">
        <v>66</v>
      </c>
      <c r="CQ28" t="s">
        <v>66</v>
      </c>
      <c r="CR28" t="s">
        <v>66</v>
      </c>
      <c r="CS28">
        <v>3000</v>
      </c>
      <c r="CT28" t="s">
        <v>78</v>
      </c>
      <c r="CU28">
        <v>3</v>
      </c>
      <c r="CV28" t="s">
        <v>1173</v>
      </c>
    </row>
    <row r="29" spans="1:100" x14ac:dyDescent="0.25">
      <c r="A29" t="s">
        <v>1174</v>
      </c>
      <c r="B29" t="s">
        <v>1144</v>
      </c>
      <c r="C29" s="1">
        <v>45777</v>
      </c>
      <c r="D29" t="s">
        <v>1175</v>
      </c>
      <c r="E29">
        <v>22084954</v>
      </c>
      <c r="F29">
        <v>50</v>
      </c>
      <c r="G29">
        <v>42</v>
      </c>
      <c r="H29" t="s">
        <v>850</v>
      </c>
      <c r="I29" t="s">
        <v>850</v>
      </c>
      <c r="J29" t="s">
        <v>850</v>
      </c>
      <c r="K29" s="1">
        <v>23200</v>
      </c>
      <c r="L29" s="15">
        <f t="shared" si="0"/>
        <v>62</v>
      </c>
      <c r="M29" t="s">
        <v>59</v>
      </c>
      <c r="N29" t="s">
        <v>108</v>
      </c>
      <c r="O29" t="s">
        <v>60</v>
      </c>
      <c r="P29" t="s">
        <v>61</v>
      </c>
      <c r="Q29" t="s">
        <v>61</v>
      </c>
      <c r="R29" t="s">
        <v>62</v>
      </c>
      <c r="S29" t="s">
        <v>61</v>
      </c>
      <c r="T29" t="s">
        <v>854</v>
      </c>
      <c r="U29" t="s">
        <v>61</v>
      </c>
      <c r="V29" t="s">
        <v>1723</v>
      </c>
      <c r="W29" t="s">
        <v>1724</v>
      </c>
      <c r="X29" t="s">
        <v>1543</v>
      </c>
      <c r="Y29" t="s">
        <v>1722</v>
      </c>
      <c r="Z29" t="s">
        <v>66</v>
      </c>
      <c r="AA29" t="s">
        <v>66</v>
      </c>
      <c r="AB29" t="s">
        <v>63</v>
      </c>
      <c r="AC29" t="s">
        <v>66</v>
      </c>
      <c r="AD29">
        <v>1</v>
      </c>
      <c r="AE29">
        <v>3</v>
      </c>
      <c r="AF29" t="s">
        <v>61</v>
      </c>
      <c r="AG29" t="s">
        <v>132</v>
      </c>
      <c r="AH29" t="s">
        <v>63</v>
      </c>
      <c r="AI29" t="s">
        <v>66</v>
      </c>
      <c r="AJ29" t="s">
        <v>61</v>
      </c>
      <c r="AK29" t="s">
        <v>66</v>
      </c>
      <c r="AL29" t="s">
        <v>61</v>
      </c>
      <c r="AM29" t="s">
        <v>66</v>
      </c>
      <c r="AN29">
        <v>1</v>
      </c>
      <c r="AO29" t="s">
        <v>61</v>
      </c>
      <c r="AP29" t="s">
        <v>1176</v>
      </c>
      <c r="AQ29" t="s">
        <v>1177</v>
      </c>
      <c r="AR29" t="s">
        <v>63</v>
      </c>
      <c r="AS29" t="s">
        <v>61</v>
      </c>
      <c r="AT29" t="s">
        <v>61</v>
      </c>
      <c r="AU29">
        <v>6</v>
      </c>
      <c r="AV29" t="s">
        <v>66</v>
      </c>
      <c r="AW29" t="s">
        <v>66</v>
      </c>
      <c r="AX29" t="s">
        <v>66</v>
      </c>
      <c r="AY29" t="s">
        <v>66</v>
      </c>
      <c r="AZ29" t="s">
        <v>66</v>
      </c>
      <c r="BA29" t="s">
        <v>66</v>
      </c>
      <c r="BB29" t="s">
        <v>741</v>
      </c>
      <c r="BC29" t="s">
        <v>70</v>
      </c>
      <c r="BD29">
        <v>3</v>
      </c>
      <c r="BE29" t="s">
        <v>635</v>
      </c>
      <c r="BF29" t="s">
        <v>104</v>
      </c>
      <c r="BG29" t="s">
        <v>71</v>
      </c>
      <c r="BH29" t="s">
        <v>63</v>
      </c>
      <c r="BI29" t="s">
        <v>554</v>
      </c>
      <c r="BJ29" s="3" t="s">
        <v>77</v>
      </c>
      <c r="BK29" t="s">
        <v>1141</v>
      </c>
      <c r="BL29" t="s">
        <v>1178</v>
      </c>
      <c r="BM29" t="s">
        <v>73</v>
      </c>
      <c r="BN29" s="3" t="s">
        <v>556</v>
      </c>
      <c r="BO29" t="s">
        <v>1179</v>
      </c>
      <c r="BP29" t="s">
        <v>661</v>
      </c>
      <c r="BQ29" t="s">
        <v>78</v>
      </c>
      <c r="BR29" t="s">
        <v>230</v>
      </c>
      <c r="BS29" t="s">
        <v>894</v>
      </c>
      <c r="BT29">
        <v>4</v>
      </c>
      <c r="BU29" t="s">
        <v>635</v>
      </c>
      <c r="BV29" t="s">
        <v>104</v>
      </c>
      <c r="BW29" t="s">
        <v>163</v>
      </c>
      <c r="BX29" t="s">
        <v>63</v>
      </c>
      <c r="BY29" t="s">
        <v>895</v>
      </c>
      <c r="BZ29" t="s">
        <v>1019</v>
      </c>
      <c r="CA29" t="s">
        <v>66</v>
      </c>
      <c r="CB29">
        <v>7</v>
      </c>
      <c r="CC29" t="s">
        <v>66</v>
      </c>
      <c r="CD29" t="s">
        <v>66</v>
      </c>
      <c r="CE29" t="s">
        <v>66</v>
      </c>
      <c r="CF29">
        <v>3000</v>
      </c>
      <c r="CG29" t="s">
        <v>78</v>
      </c>
      <c r="CH29" s="3" t="s">
        <v>837</v>
      </c>
      <c r="CI29" t="s">
        <v>63</v>
      </c>
      <c r="CJ29" t="s">
        <v>66</v>
      </c>
      <c r="CK29" t="s">
        <v>66</v>
      </c>
      <c r="CL29" t="s">
        <v>66</v>
      </c>
      <c r="CM29" t="s">
        <v>66</v>
      </c>
      <c r="CN29" t="s">
        <v>66</v>
      </c>
      <c r="CO29" t="s">
        <v>66</v>
      </c>
      <c r="CP29" t="s">
        <v>66</v>
      </c>
      <c r="CQ29" t="s">
        <v>66</v>
      </c>
      <c r="CR29" t="s">
        <v>66</v>
      </c>
      <c r="CS29" t="s">
        <v>66</v>
      </c>
      <c r="CT29" t="s">
        <v>66</v>
      </c>
      <c r="CU29" t="s">
        <v>66</v>
      </c>
      <c r="CV29" t="s">
        <v>1180</v>
      </c>
    </row>
    <row r="30" spans="1:100" x14ac:dyDescent="0.25">
      <c r="A30" t="s">
        <v>1181</v>
      </c>
      <c r="B30" t="s">
        <v>1144</v>
      </c>
      <c r="C30" s="1">
        <v>45777</v>
      </c>
      <c r="D30" t="s">
        <v>1182</v>
      </c>
      <c r="E30">
        <v>22287705</v>
      </c>
      <c r="F30">
        <v>16</v>
      </c>
      <c r="G30">
        <v>8</v>
      </c>
      <c r="H30" t="s">
        <v>850</v>
      </c>
      <c r="I30" t="s">
        <v>850</v>
      </c>
      <c r="J30" t="s">
        <v>1183</v>
      </c>
      <c r="K30" s="1">
        <v>25487</v>
      </c>
      <c r="L30" s="15">
        <f t="shared" si="0"/>
        <v>55</v>
      </c>
      <c r="M30" t="s">
        <v>59</v>
      </c>
      <c r="N30" t="s">
        <v>108</v>
      </c>
      <c r="O30" t="s">
        <v>322</v>
      </c>
      <c r="P30" t="s">
        <v>61</v>
      </c>
      <c r="Q30" t="s">
        <v>61</v>
      </c>
      <c r="R30" t="s">
        <v>285</v>
      </c>
      <c r="S30" t="s">
        <v>61</v>
      </c>
      <c r="T30" t="s">
        <v>1184</v>
      </c>
      <c r="U30" t="s">
        <v>61</v>
      </c>
      <c r="V30" t="s">
        <v>1723</v>
      </c>
      <c r="W30" t="s">
        <v>1724</v>
      </c>
      <c r="X30" t="s">
        <v>66</v>
      </c>
      <c r="Y30" t="s">
        <v>66</v>
      </c>
      <c r="Z30" t="s">
        <v>66</v>
      </c>
      <c r="AA30" t="s">
        <v>66</v>
      </c>
      <c r="AB30" t="s">
        <v>63</v>
      </c>
      <c r="AC30" t="s">
        <v>66</v>
      </c>
      <c r="AD30">
        <v>5</v>
      </c>
      <c r="AE30">
        <v>4</v>
      </c>
      <c r="AF30" t="s">
        <v>61</v>
      </c>
      <c r="AG30" t="s">
        <v>132</v>
      </c>
      <c r="AH30" t="s">
        <v>63</v>
      </c>
      <c r="AI30" t="s">
        <v>66</v>
      </c>
      <c r="AJ30" t="s">
        <v>63</v>
      </c>
      <c r="AK30" t="s">
        <v>93</v>
      </c>
      <c r="AL30" t="s">
        <v>63</v>
      </c>
      <c r="AM30" t="s">
        <v>93</v>
      </c>
      <c r="AN30">
        <v>1</v>
      </c>
      <c r="AO30" t="s">
        <v>61</v>
      </c>
      <c r="AP30" t="s">
        <v>1185</v>
      </c>
      <c r="AQ30" t="s">
        <v>1186</v>
      </c>
      <c r="AR30" t="s">
        <v>63</v>
      </c>
      <c r="AS30" t="s">
        <v>63</v>
      </c>
      <c r="AT30" t="s">
        <v>61</v>
      </c>
      <c r="AU30">
        <v>6</v>
      </c>
      <c r="AV30" t="s">
        <v>66</v>
      </c>
      <c r="AW30" t="s">
        <v>66</v>
      </c>
      <c r="AX30" t="s">
        <v>66</v>
      </c>
      <c r="AY30" t="s">
        <v>66</v>
      </c>
      <c r="AZ30" t="s">
        <v>66</v>
      </c>
      <c r="BA30" t="s">
        <v>66</v>
      </c>
      <c r="BB30" t="s">
        <v>1187</v>
      </c>
      <c r="BC30" t="s">
        <v>341</v>
      </c>
      <c r="BD30">
        <v>7</v>
      </c>
      <c r="BE30" t="s">
        <v>1188</v>
      </c>
      <c r="BF30" t="s">
        <v>104</v>
      </c>
      <c r="BG30" t="s">
        <v>1189</v>
      </c>
      <c r="BH30" t="s">
        <v>63</v>
      </c>
      <c r="BI30" t="s">
        <v>910</v>
      </c>
      <c r="BJ30" s="3" t="s">
        <v>1114</v>
      </c>
      <c r="BK30" t="s">
        <v>1190</v>
      </c>
      <c r="BL30">
        <v>10</v>
      </c>
      <c r="BM30">
        <v>1</v>
      </c>
      <c r="BN30" s="3" t="s">
        <v>103</v>
      </c>
      <c r="BO30" t="s">
        <v>94</v>
      </c>
      <c r="BP30">
        <v>3000</v>
      </c>
      <c r="BQ30" t="s">
        <v>78</v>
      </c>
      <c r="BR30" t="s">
        <v>1191</v>
      </c>
      <c r="BS30" t="s">
        <v>986</v>
      </c>
      <c r="BT30">
        <v>3</v>
      </c>
      <c r="BU30" t="s">
        <v>1188</v>
      </c>
      <c r="BV30" t="s">
        <v>104</v>
      </c>
      <c r="BW30" t="s">
        <v>71</v>
      </c>
      <c r="BX30" t="s">
        <v>63</v>
      </c>
      <c r="BY30" t="s">
        <v>347</v>
      </c>
      <c r="BZ30">
        <v>4</v>
      </c>
      <c r="CA30" t="s">
        <v>948</v>
      </c>
      <c r="CB30">
        <v>20</v>
      </c>
      <c r="CC30" t="s">
        <v>272</v>
      </c>
      <c r="CD30">
        <v>4</v>
      </c>
      <c r="CE30">
        <v>100</v>
      </c>
      <c r="CF30" t="s">
        <v>1192</v>
      </c>
      <c r="CG30" t="s">
        <v>78</v>
      </c>
      <c r="CH30">
        <v>30</v>
      </c>
      <c r="CI30" t="s">
        <v>63</v>
      </c>
      <c r="CJ30" t="s">
        <v>66</v>
      </c>
      <c r="CK30" t="s">
        <v>66</v>
      </c>
      <c r="CL30" t="s">
        <v>66</v>
      </c>
      <c r="CM30" t="s">
        <v>66</v>
      </c>
      <c r="CN30" t="s">
        <v>66</v>
      </c>
      <c r="CO30" t="s">
        <v>66</v>
      </c>
      <c r="CP30" t="s">
        <v>66</v>
      </c>
      <c r="CQ30" t="s">
        <v>66</v>
      </c>
      <c r="CR30" t="s">
        <v>66</v>
      </c>
      <c r="CS30" t="s">
        <v>66</v>
      </c>
      <c r="CT30" t="s">
        <v>66</v>
      </c>
      <c r="CU30" t="s">
        <v>66</v>
      </c>
    </row>
    <row r="31" spans="1:100" x14ac:dyDescent="0.25">
      <c r="A31" t="s">
        <v>1193</v>
      </c>
      <c r="B31" t="s">
        <v>1144</v>
      </c>
      <c r="C31" s="1">
        <v>45777</v>
      </c>
      <c r="D31" t="s">
        <v>1194</v>
      </c>
      <c r="E31">
        <v>46947012</v>
      </c>
      <c r="F31">
        <v>18</v>
      </c>
      <c r="G31">
        <v>16</v>
      </c>
      <c r="H31" t="s">
        <v>850</v>
      </c>
      <c r="I31" t="s">
        <v>850</v>
      </c>
      <c r="J31" t="s">
        <v>850</v>
      </c>
      <c r="K31" s="1">
        <v>33349</v>
      </c>
      <c r="L31" s="15">
        <f t="shared" si="0"/>
        <v>34</v>
      </c>
      <c r="M31" t="s">
        <v>59</v>
      </c>
      <c r="N31" t="s">
        <v>108</v>
      </c>
      <c r="O31" t="s">
        <v>60</v>
      </c>
      <c r="P31" t="s">
        <v>61</v>
      </c>
      <c r="Q31" t="s">
        <v>61</v>
      </c>
      <c r="R31" t="s">
        <v>129</v>
      </c>
      <c r="S31" t="s">
        <v>61</v>
      </c>
      <c r="T31" t="s">
        <v>932</v>
      </c>
      <c r="U31" t="s">
        <v>61</v>
      </c>
      <c r="V31" t="s">
        <v>1723</v>
      </c>
      <c r="W31" t="s">
        <v>1744</v>
      </c>
      <c r="X31" t="s">
        <v>66</v>
      </c>
      <c r="Y31" t="s">
        <v>66</v>
      </c>
      <c r="Z31" t="s">
        <v>66</v>
      </c>
      <c r="AA31" t="s">
        <v>66</v>
      </c>
      <c r="AB31" t="s">
        <v>63</v>
      </c>
      <c r="AC31" t="s">
        <v>66</v>
      </c>
      <c r="AD31">
        <v>3</v>
      </c>
      <c r="AE31">
        <v>2</v>
      </c>
      <c r="AF31" t="s">
        <v>61</v>
      </c>
      <c r="AG31" t="s">
        <v>132</v>
      </c>
      <c r="AH31" t="s">
        <v>63</v>
      </c>
      <c r="AI31" t="s">
        <v>66</v>
      </c>
      <c r="AJ31" t="s">
        <v>61</v>
      </c>
      <c r="AK31" t="s">
        <v>66</v>
      </c>
      <c r="AL31" t="s">
        <v>63</v>
      </c>
      <c r="AM31" t="s">
        <v>1195</v>
      </c>
      <c r="AN31">
        <v>1</v>
      </c>
      <c r="AO31" t="s">
        <v>61</v>
      </c>
      <c r="AP31" t="s">
        <v>1196</v>
      </c>
      <c r="AQ31" t="s">
        <v>93</v>
      </c>
      <c r="AR31" t="s">
        <v>63</v>
      </c>
      <c r="AS31" t="s">
        <v>63</v>
      </c>
      <c r="AT31" t="s">
        <v>63</v>
      </c>
      <c r="AU31">
        <v>4</v>
      </c>
      <c r="AV31" t="s">
        <v>66</v>
      </c>
      <c r="AW31" t="s">
        <v>66</v>
      </c>
      <c r="AX31" t="s">
        <v>66</v>
      </c>
      <c r="AY31" t="s">
        <v>66</v>
      </c>
      <c r="AZ31" t="s">
        <v>66</v>
      </c>
      <c r="BA31" t="s">
        <v>66</v>
      </c>
      <c r="BB31" t="s">
        <v>1197</v>
      </c>
      <c r="BC31" t="s">
        <v>70</v>
      </c>
      <c r="BD31">
        <v>3</v>
      </c>
      <c r="BE31" t="s">
        <v>388</v>
      </c>
      <c r="BF31" t="s">
        <v>104</v>
      </c>
      <c r="BG31" t="s">
        <v>71</v>
      </c>
      <c r="BH31" t="s">
        <v>63</v>
      </c>
      <c r="BI31" t="s">
        <v>174</v>
      </c>
      <c r="BJ31" s="3" t="s">
        <v>589</v>
      </c>
      <c r="BK31" t="s">
        <v>1198</v>
      </c>
      <c r="BL31" t="s">
        <v>83</v>
      </c>
      <c r="BM31" t="s">
        <v>272</v>
      </c>
      <c r="BN31">
        <v>5</v>
      </c>
      <c r="BO31" t="s">
        <v>872</v>
      </c>
      <c r="BP31" t="s">
        <v>1112</v>
      </c>
      <c r="BQ31" t="s">
        <v>78</v>
      </c>
      <c r="BR31" t="s">
        <v>1199</v>
      </c>
      <c r="BS31" t="s">
        <v>894</v>
      </c>
      <c r="BT31">
        <v>4</v>
      </c>
      <c r="BU31" t="s">
        <v>388</v>
      </c>
      <c r="BV31" t="s">
        <v>104</v>
      </c>
      <c r="BW31" t="s">
        <v>163</v>
      </c>
      <c r="BX31" t="s">
        <v>63</v>
      </c>
      <c r="BY31" t="s">
        <v>1200</v>
      </c>
      <c r="BZ31" s="3" t="s">
        <v>586</v>
      </c>
      <c r="CA31" t="s">
        <v>66</v>
      </c>
      <c r="CB31" s="3" t="s">
        <v>142</v>
      </c>
      <c r="CC31" t="s">
        <v>66</v>
      </c>
      <c r="CD31" t="s">
        <v>66</v>
      </c>
      <c r="CE31" t="s">
        <v>66</v>
      </c>
      <c r="CF31" t="s">
        <v>1201</v>
      </c>
      <c r="CG31" t="s">
        <v>78</v>
      </c>
      <c r="CH31" t="s">
        <v>1202</v>
      </c>
      <c r="CI31" t="s">
        <v>1115</v>
      </c>
      <c r="CJ31" t="s">
        <v>96</v>
      </c>
      <c r="CK31" t="s">
        <v>63</v>
      </c>
      <c r="CL31" t="s">
        <v>174</v>
      </c>
      <c r="CN31" t="s">
        <v>1203</v>
      </c>
      <c r="CO31" s="3" t="s">
        <v>225</v>
      </c>
      <c r="CP31" t="s">
        <v>66</v>
      </c>
      <c r="CQ31" t="s">
        <v>66</v>
      </c>
      <c r="CR31" t="s">
        <v>66</v>
      </c>
      <c r="CS31" t="s">
        <v>567</v>
      </c>
      <c r="CT31" t="s">
        <v>78</v>
      </c>
      <c r="CU31">
        <v>2</v>
      </c>
      <c r="CV31" t="s">
        <v>1204</v>
      </c>
    </row>
    <row r="32" spans="1:100" x14ac:dyDescent="0.25">
      <c r="A32" t="s">
        <v>1205</v>
      </c>
      <c r="B32" t="s">
        <v>1144</v>
      </c>
      <c r="C32" s="1">
        <v>45777</v>
      </c>
      <c r="D32" t="s">
        <v>1206</v>
      </c>
      <c r="E32">
        <v>45954224</v>
      </c>
      <c r="F32">
        <v>20</v>
      </c>
      <c r="G32">
        <v>20</v>
      </c>
      <c r="H32" t="s">
        <v>850</v>
      </c>
      <c r="I32" t="s">
        <v>850</v>
      </c>
      <c r="J32" t="s">
        <v>850</v>
      </c>
      <c r="K32" s="1">
        <v>29194</v>
      </c>
      <c r="L32" s="15">
        <f t="shared" si="0"/>
        <v>45</v>
      </c>
      <c r="M32" t="s">
        <v>59</v>
      </c>
      <c r="N32" t="s">
        <v>89</v>
      </c>
      <c r="O32" t="s">
        <v>60</v>
      </c>
      <c r="P32" t="s">
        <v>61</v>
      </c>
      <c r="Q32" t="s">
        <v>61</v>
      </c>
      <c r="R32" t="s">
        <v>129</v>
      </c>
      <c r="S32" t="s">
        <v>63</v>
      </c>
      <c r="T32" t="s">
        <v>66</v>
      </c>
      <c r="U32" t="s">
        <v>61</v>
      </c>
      <c r="V32" t="s">
        <v>1543</v>
      </c>
      <c r="W32" t="s">
        <v>1722</v>
      </c>
      <c r="X32" t="s">
        <v>66</v>
      </c>
      <c r="Y32" t="s">
        <v>66</v>
      </c>
      <c r="Z32" t="s">
        <v>66</v>
      </c>
      <c r="AA32" t="s">
        <v>66</v>
      </c>
      <c r="AB32" t="s">
        <v>61</v>
      </c>
      <c r="AC32" t="s">
        <v>1207</v>
      </c>
      <c r="AD32">
        <v>2</v>
      </c>
      <c r="AE32">
        <v>2</v>
      </c>
      <c r="AF32" t="s">
        <v>63</v>
      </c>
      <c r="AG32" t="s">
        <v>66</v>
      </c>
      <c r="AH32" t="s">
        <v>63</v>
      </c>
      <c r="AI32" t="s">
        <v>66</v>
      </c>
      <c r="AJ32" t="s">
        <v>61</v>
      </c>
      <c r="AK32" t="s">
        <v>66</v>
      </c>
      <c r="AL32" t="s">
        <v>63</v>
      </c>
      <c r="AM32" t="s">
        <v>1208</v>
      </c>
      <c r="AN32">
        <v>0</v>
      </c>
      <c r="AO32" t="s">
        <v>66</v>
      </c>
      <c r="AP32" t="s">
        <v>1209</v>
      </c>
      <c r="AQ32" t="s">
        <v>93</v>
      </c>
      <c r="AR32" t="s">
        <v>63</v>
      </c>
      <c r="AS32" t="s">
        <v>63</v>
      </c>
      <c r="AT32" t="s">
        <v>61</v>
      </c>
      <c r="AU32">
        <v>10</v>
      </c>
      <c r="AV32" t="s">
        <v>66</v>
      </c>
      <c r="AW32" t="s">
        <v>66</v>
      </c>
      <c r="AX32" t="s">
        <v>66</v>
      </c>
      <c r="AY32" t="s">
        <v>66</v>
      </c>
      <c r="AZ32" t="s">
        <v>66</v>
      </c>
      <c r="BA32" t="s">
        <v>66</v>
      </c>
      <c r="BB32" t="s">
        <v>1210</v>
      </c>
      <c r="BC32" t="s">
        <v>70</v>
      </c>
      <c r="BD32">
        <v>3</v>
      </c>
      <c r="BE32" t="s">
        <v>1102</v>
      </c>
      <c r="BF32" t="s">
        <v>104</v>
      </c>
      <c r="BG32" t="s">
        <v>71</v>
      </c>
      <c r="BH32" t="s">
        <v>63</v>
      </c>
      <c r="BI32" t="s">
        <v>98</v>
      </c>
      <c r="BJ32" s="3" t="s">
        <v>77</v>
      </c>
      <c r="BK32" t="s">
        <v>948</v>
      </c>
      <c r="BL32" t="s">
        <v>376</v>
      </c>
      <c r="BM32">
        <v>72</v>
      </c>
      <c r="BN32" s="3" t="s">
        <v>225</v>
      </c>
      <c r="BO32" t="s">
        <v>363</v>
      </c>
      <c r="BP32" t="s">
        <v>140</v>
      </c>
      <c r="BQ32" t="s">
        <v>78</v>
      </c>
      <c r="BR32" t="s">
        <v>923</v>
      </c>
      <c r="BS32" t="s">
        <v>341</v>
      </c>
      <c r="BT32">
        <v>6</v>
      </c>
      <c r="BU32" t="s">
        <v>1102</v>
      </c>
      <c r="BV32" t="s">
        <v>104</v>
      </c>
      <c r="BW32" t="s">
        <v>96</v>
      </c>
      <c r="BX32" t="s">
        <v>63</v>
      </c>
      <c r="BY32" t="s">
        <v>895</v>
      </c>
      <c r="BZ32" s="3" t="s">
        <v>261</v>
      </c>
      <c r="CA32" t="s">
        <v>1211</v>
      </c>
      <c r="CB32" s="3" t="s">
        <v>373</v>
      </c>
      <c r="CC32">
        <v>1</v>
      </c>
      <c r="CD32" s="3" t="s">
        <v>142</v>
      </c>
      <c r="CE32" t="s">
        <v>1212</v>
      </c>
      <c r="CF32">
        <v>15000</v>
      </c>
      <c r="CG32" t="s">
        <v>78</v>
      </c>
      <c r="CH32" s="3" t="s">
        <v>77</v>
      </c>
      <c r="CI32" t="s">
        <v>950</v>
      </c>
      <c r="CJ32" t="s">
        <v>79</v>
      </c>
      <c r="CK32" s="3" t="s">
        <v>897</v>
      </c>
      <c r="CL32" t="s">
        <v>98</v>
      </c>
      <c r="CM32" s="3" t="s">
        <v>77</v>
      </c>
      <c r="CN32" t="s">
        <v>1213</v>
      </c>
      <c r="CO32" s="3" t="s">
        <v>376</v>
      </c>
      <c r="CP32" s="3" t="s">
        <v>225</v>
      </c>
      <c r="CQ32">
        <v>4</v>
      </c>
      <c r="CR32" t="s">
        <v>363</v>
      </c>
      <c r="CS32" t="s">
        <v>140</v>
      </c>
      <c r="CT32" t="s">
        <v>78</v>
      </c>
      <c r="CU32" t="s">
        <v>83</v>
      </c>
      <c r="CV32" t="s">
        <v>1214</v>
      </c>
    </row>
    <row r="33" spans="1:100" x14ac:dyDescent="0.25">
      <c r="A33" t="s">
        <v>1215</v>
      </c>
      <c r="B33" t="s">
        <v>1144</v>
      </c>
      <c r="C33" s="1">
        <v>45777</v>
      </c>
      <c r="D33" t="s">
        <v>1216</v>
      </c>
      <c r="E33">
        <v>43547174</v>
      </c>
      <c r="F33">
        <v>15</v>
      </c>
      <c r="G33">
        <v>15</v>
      </c>
      <c r="H33" t="s">
        <v>850</v>
      </c>
      <c r="I33" t="s">
        <v>850</v>
      </c>
      <c r="J33" t="s">
        <v>850</v>
      </c>
      <c r="K33" s="1">
        <v>31115</v>
      </c>
      <c r="L33" s="15">
        <f t="shared" si="0"/>
        <v>40</v>
      </c>
      <c r="M33" t="s">
        <v>59</v>
      </c>
      <c r="N33" t="s">
        <v>108</v>
      </c>
      <c r="O33" t="s">
        <v>90</v>
      </c>
      <c r="P33" t="s">
        <v>61</v>
      </c>
      <c r="Q33" t="s">
        <v>61</v>
      </c>
      <c r="R33" t="s">
        <v>62</v>
      </c>
      <c r="S33" t="s">
        <v>61</v>
      </c>
      <c r="T33" t="s">
        <v>932</v>
      </c>
      <c r="U33" t="s">
        <v>61</v>
      </c>
      <c r="V33" t="s">
        <v>1723</v>
      </c>
      <c r="W33" t="s">
        <v>1724</v>
      </c>
      <c r="X33" t="s">
        <v>66</v>
      </c>
      <c r="Y33" t="s">
        <v>66</v>
      </c>
      <c r="Z33" t="s">
        <v>66</v>
      </c>
      <c r="AA33" t="s">
        <v>66</v>
      </c>
      <c r="AB33" t="s">
        <v>63</v>
      </c>
      <c r="AC33" t="s">
        <v>66</v>
      </c>
      <c r="AD33">
        <v>2</v>
      </c>
      <c r="AE33">
        <v>2</v>
      </c>
      <c r="AF33" t="s">
        <v>61</v>
      </c>
      <c r="AG33" t="s">
        <v>1217</v>
      </c>
      <c r="AH33" t="s">
        <v>63</v>
      </c>
      <c r="AI33" t="s">
        <v>66</v>
      </c>
      <c r="AJ33" t="s">
        <v>61</v>
      </c>
      <c r="AK33" t="s">
        <v>66</v>
      </c>
      <c r="AL33" t="s">
        <v>61</v>
      </c>
      <c r="AM33" t="s">
        <v>66</v>
      </c>
      <c r="AN33">
        <v>1</v>
      </c>
      <c r="AO33" t="s">
        <v>61</v>
      </c>
      <c r="AP33" t="s">
        <v>1218</v>
      </c>
      <c r="AQ33" t="s">
        <v>1219</v>
      </c>
      <c r="AR33" t="s">
        <v>63</v>
      </c>
      <c r="AS33" t="s">
        <v>63</v>
      </c>
      <c r="AT33" t="s">
        <v>61</v>
      </c>
      <c r="AU33">
        <v>5</v>
      </c>
      <c r="AV33" t="s">
        <v>66</v>
      </c>
      <c r="AW33" t="s">
        <v>66</v>
      </c>
      <c r="AX33" t="s">
        <v>66</v>
      </c>
      <c r="AY33" t="s">
        <v>66</v>
      </c>
      <c r="AZ33" t="s">
        <v>66</v>
      </c>
      <c r="BA33" t="s">
        <v>66</v>
      </c>
      <c r="BB33">
        <v>238</v>
      </c>
      <c r="BC33" t="s">
        <v>70</v>
      </c>
      <c r="BD33">
        <v>4</v>
      </c>
      <c r="BE33" t="s">
        <v>175</v>
      </c>
      <c r="BF33" t="s">
        <v>104</v>
      </c>
      <c r="BG33" t="s">
        <v>71</v>
      </c>
      <c r="BH33" t="s">
        <v>63</v>
      </c>
      <c r="BI33" t="s">
        <v>554</v>
      </c>
      <c r="BJ33" s="3" t="s">
        <v>225</v>
      </c>
      <c r="BK33" t="s">
        <v>1220</v>
      </c>
      <c r="BL33">
        <v>25</v>
      </c>
      <c r="BM33">
        <v>72</v>
      </c>
      <c r="BN33">
        <v>8</v>
      </c>
      <c r="BO33">
        <v>200</v>
      </c>
      <c r="BP33">
        <v>1500</v>
      </c>
      <c r="BQ33" t="s">
        <v>78</v>
      </c>
      <c r="BR33" t="s">
        <v>1221</v>
      </c>
      <c r="BS33" t="s">
        <v>894</v>
      </c>
      <c r="BT33">
        <v>4</v>
      </c>
      <c r="BU33" t="s">
        <v>175</v>
      </c>
      <c r="BV33" t="s">
        <v>104</v>
      </c>
      <c r="BW33" t="s">
        <v>163</v>
      </c>
      <c r="BX33" t="s">
        <v>63</v>
      </c>
      <c r="BY33" t="s">
        <v>895</v>
      </c>
      <c r="BZ33" s="3" t="s">
        <v>837</v>
      </c>
      <c r="CA33" t="s">
        <v>66</v>
      </c>
      <c r="CB33">
        <v>3</v>
      </c>
      <c r="CC33" t="s">
        <v>66</v>
      </c>
      <c r="CD33" t="s">
        <v>66</v>
      </c>
      <c r="CE33" t="s">
        <v>66</v>
      </c>
      <c r="CF33">
        <v>3000</v>
      </c>
      <c r="CG33" t="s">
        <v>78</v>
      </c>
      <c r="CH33" s="3" t="s">
        <v>1222</v>
      </c>
      <c r="CI33" t="s">
        <v>966</v>
      </c>
      <c r="CJ33" t="s">
        <v>96</v>
      </c>
      <c r="CK33" t="s">
        <v>63</v>
      </c>
      <c r="CL33" t="s">
        <v>1223</v>
      </c>
      <c r="CM33" s="3" t="s">
        <v>1019</v>
      </c>
      <c r="CN33" t="s">
        <v>1224</v>
      </c>
      <c r="CO33">
        <v>5</v>
      </c>
      <c r="CP33" s="3" t="s">
        <v>80</v>
      </c>
      <c r="CQ33">
        <v>3</v>
      </c>
      <c r="CR33">
        <v>500</v>
      </c>
      <c r="CS33">
        <v>1500</v>
      </c>
      <c r="CT33" t="s">
        <v>78</v>
      </c>
      <c r="CU33">
        <v>4</v>
      </c>
      <c r="CV33" s="3" t="s">
        <v>1225</v>
      </c>
    </row>
    <row r="34" spans="1:100" x14ac:dyDescent="0.25">
      <c r="A34" t="s">
        <v>1226</v>
      </c>
      <c r="B34" t="s">
        <v>1227</v>
      </c>
      <c r="C34" s="1">
        <v>45814</v>
      </c>
      <c r="D34" t="s">
        <v>1228</v>
      </c>
      <c r="E34">
        <v>80318890</v>
      </c>
      <c r="F34">
        <v>29</v>
      </c>
      <c r="G34">
        <v>20</v>
      </c>
      <c r="H34" t="s">
        <v>850</v>
      </c>
      <c r="I34" t="s">
        <v>850</v>
      </c>
      <c r="J34" t="s">
        <v>850</v>
      </c>
      <c r="K34" s="1">
        <v>28858</v>
      </c>
      <c r="L34" s="15">
        <f t="shared" si="0"/>
        <v>46</v>
      </c>
      <c r="M34" t="s">
        <v>59</v>
      </c>
      <c r="N34" t="s">
        <v>108</v>
      </c>
      <c r="O34" t="s">
        <v>90</v>
      </c>
      <c r="P34" t="s">
        <v>61</v>
      </c>
      <c r="Q34" t="s">
        <v>63</v>
      </c>
      <c r="R34" t="s">
        <v>129</v>
      </c>
      <c r="S34" t="s">
        <v>61</v>
      </c>
      <c r="T34" t="s">
        <v>932</v>
      </c>
      <c r="U34" t="s">
        <v>63</v>
      </c>
      <c r="V34" t="s">
        <v>66</v>
      </c>
      <c r="W34" t="s">
        <v>66</v>
      </c>
      <c r="X34" t="s">
        <v>66</v>
      </c>
      <c r="Y34" t="s">
        <v>66</v>
      </c>
      <c r="Z34" t="s">
        <v>66</v>
      </c>
      <c r="AA34" t="s">
        <v>66</v>
      </c>
      <c r="AB34" t="s">
        <v>63</v>
      </c>
      <c r="AC34" t="s">
        <v>66</v>
      </c>
      <c r="AD34">
        <v>4</v>
      </c>
      <c r="AE34">
        <v>3</v>
      </c>
      <c r="AF34" t="s">
        <v>61</v>
      </c>
      <c r="AG34" t="s">
        <v>970</v>
      </c>
      <c r="AH34" t="s">
        <v>63</v>
      </c>
      <c r="AI34" t="s">
        <v>66</v>
      </c>
      <c r="AJ34" t="s">
        <v>61</v>
      </c>
      <c r="AK34" t="s">
        <v>66</v>
      </c>
      <c r="AL34" t="s">
        <v>61</v>
      </c>
      <c r="AM34" t="s">
        <v>66</v>
      </c>
      <c r="AN34">
        <v>0</v>
      </c>
      <c r="AO34" t="s">
        <v>66</v>
      </c>
      <c r="AP34" t="s">
        <v>1229</v>
      </c>
      <c r="AQ34" t="s">
        <v>1230</v>
      </c>
      <c r="AR34" t="s">
        <v>63</v>
      </c>
      <c r="AS34" t="s">
        <v>63</v>
      </c>
      <c r="AT34" t="s">
        <v>61</v>
      </c>
      <c r="AU34">
        <v>8</v>
      </c>
      <c r="AV34" t="s">
        <v>66</v>
      </c>
      <c r="AW34" t="s">
        <v>66</v>
      </c>
      <c r="AX34" t="s">
        <v>66</v>
      </c>
      <c r="AY34" t="s">
        <v>66</v>
      </c>
      <c r="AZ34" t="s">
        <v>66</v>
      </c>
      <c r="BA34" t="s">
        <v>66</v>
      </c>
      <c r="BB34">
        <v>240</v>
      </c>
      <c r="BC34" t="s">
        <v>70</v>
      </c>
      <c r="BD34">
        <v>4</v>
      </c>
      <c r="BE34" t="s">
        <v>1231</v>
      </c>
      <c r="BF34" t="s">
        <v>104</v>
      </c>
      <c r="BG34" t="s">
        <v>71</v>
      </c>
      <c r="BH34" t="s">
        <v>63</v>
      </c>
      <c r="BI34" t="s">
        <v>624</v>
      </c>
      <c r="BJ34">
        <v>3</v>
      </c>
      <c r="BK34" t="s">
        <v>1198</v>
      </c>
      <c r="BL34">
        <v>30</v>
      </c>
      <c r="BM34" t="s">
        <v>1232</v>
      </c>
      <c r="BN34" s="3" t="s">
        <v>261</v>
      </c>
      <c r="BO34" t="s">
        <v>1233</v>
      </c>
      <c r="BP34" t="s">
        <v>177</v>
      </c>
      <c r="BQ34" t="s">
        <v>78</v>
      </c>
      <c r="BR34" t="s">
        <v>1234</v>
      </c>
      <c r="BS34" t="s">
        <v>894</v>
      </c>
      <c r="BT34">
        <v>4</v>
      </c>
      <c r="BU34" t="s">
        <v>1231</v>
      </c>
      <c r="BV34" t="s">
        <v>104</v>
      </c>
      <c r="BW34" t="s">
        <v>163</v>
      </c>
      <c r="BX34" t="s">
        <v>63</v>
      </c>
      <c r="BY34" t="s">
        <v>895</v>
      </c>
      <c r="BZ34" s="3" t="s">
        <v>928</v>
      </c>
      <c r="CA34" t="s">
        <v>66</v>
      </c>
      <c r="CB34">
        <v>4</v>
      </c>
      <c r="CC34" t="s">
        <v>66</v>
      </c>
      <c r="CD34" t="s">
        <v>66</v>
      </c>
      <c r="CE34" t="s">
        <v>66</v>
      </c>
      <c r="CF34" t="s">
        <v>1235</v>
      </c>
      <c r="CG34" t="s">
        <v>78</v>
      </c>
      <c r="CH34" s="3" t="s">
        <v>142</v>
      </c>
      <c r="CI34" t="s">
        <v>1115</v>
      </c>
      <c r="CJ34" t="s">
        <v>96</v>
      </c>
      <c r="CK34" t="s">
        <v>63</v>
      </c>
      <c r="CL34" t="s">
        <v>347</v>
      </c>
      <c r="CM34" s="3" t="s">
        <v>77</v>
      </c>
      <c r="CN34" t="s">
        <v>1236</v>
      </c>
      <c r="CO34" s="3" t="s">
        <v>142</v>
      </c>
      <c r="CP34" s="3" t="s">
        <v>80</v>
      </c>
      <c r="CQ34" s="3" t="s">
        <v>276</v>
      </c>
      <c r="CR34" s="3" t="s">
        <v>250</v>
      </c>
      <c r="CS34" s="3" t="s">
        <v>173</v>
      </c>
      <c r="CT34" s="3" t="s">
        <v>78</v>
      </c>
      <c r="CU34">
        <v>2</v>
      </c>
    </row>
  </sheetData>
  <autoFilter ref="BW1:BW34" xr:uid="{84FE6A96-FD7F-4FEB-B59B-4245D8E15F8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60B5-5936-4C00-8329-006B4EA09F3B}">
  <dimension ref="A1:CV24"/>
  <sheetViews>
    <sheetView topLeftCell="BJ1" zoomScale="96" zoomScaleNormal="96" workbookViewId="0">
      <selection activeCell="BS9" sqref="BS9"/>
    </sheetView>
  </sheetViews>
  <sheetFormatPr defaultRowHeight="15" x14ac:dyDescent="0.25"/>
  <cols>
    <col min="1" max="1" width="21.28515625" customWidth="1"/>
    <col min="3" max="3" width="15.7109375" bestFit="1" customWidth="1"/>
    <col min="4" max="4" width="33.85546875" customWidth="1"/>
    <col min="8" max="8" width="12.42578125" customWidth="1"/>
    <col min="9" max="9" width="23.42578125" customWidth="1"/>
    <col min="10" max="10" width="29.85546875" customWidth="1"/>
    <col min="11" max="11" width="17.85546875" bestFit="1" customWidth="1"/>
    <col min="12" max="12" width="7.85546875" customWidth="1"/>
    <col min="13" max="20" width="11.42578125"/>
    <col min="21" max="21" width="10.7109375" bestFit="1" customWidth="1"/>
    <col min="22" max="22" width="17.42578125" customWidth="1"/>
    <col min="23" max="23" width="10.7109375" customWidth="1"/>
    <col min="24" max="24" width="17.85546875" bestFit="1" customWidth="1"/>
    <col min="28" max="54" width="11.42578125"/>
    <col min="55" max="55" width="12.7109375" bestFit="1" customWidth="1"/>
    <col min="56" max="57" width="11.42578125"/>
    <col min="58" max="58" width="14.7109375" customWidth="1"/>
    <col min="59" max="73" width="11.42578125"/>
    <col min="74" max="74" width="15" customWidth="1"/>
    <col min="75" max="80" width="11.42578125"/>
    <col min="81" max="81" width="17.28515625" customWidth="1"/>
    <col min="82" max="94" width="11.42578125"/>
    <col min="95" max="95" width="13.42578125" customWidth="1"/>
    <col min="96" max="99" width="11.42578125"/>
    <col min="100" max="100" width="57.85546875" customWidth="1"/>
  </cols>
  <sheetData>
    <row r="1" spans="1:100" x14ac:dyDescent="0.25">
      <c r="A1" t="s">
        <v>0</v>
      </c>
      <c r="B1" t="s">
        <v>1</v>
      </c>
      <c r="C1" t="s">
        <v>2</v>
      </c>
      <c r="D1" t="s">
        <v>3</v>
      </c>
      <c r="E1" t="s">
        <v>4</v>
      </c>
      <c r="F1" t="s">
        <v>12</v>
      </c>
      <c r="G1" t="s">
        <v>5</v>
      </c>
      <c r="H1" t="s">
        <v>58</v>
      </c>
      <c r="I1" t="s">
        <v>6</v>
      </c>
      <c r="J1" t="s">
        <v>122</v>
      </c>
      <c r="K1" t="s">
        <v>7</v>
      </c>
      <c r="L1" t="s">
        <v>847</v>
      </c>
      <c r="M1" t="s">
        <v>8</v>
      </c>
      <c r="N1" t="s">
        <v>9</v>
      </c>
      <c r="O1" t="s">
        <v>10</v>
      </c>
      <c r="P1" t="s">
        <v>11</v>
      </c>
      <c r="Q1" t="s">
        <v>121</v>
      </c>
      <c r="R1" t="s">
        <v>106</v>
      </c>
      <c r="S1" t="s">
        <v>13</v>
      </c>
      <c r="T1" t="s">
        <v>14</v>
      </c>
      <c r="U1" t="s">
        <v>1757</v>
      </c>
      <c r="V1" t="s">
        <v>1705</v>
      </c>
      <c r="W1" t="s">
        <v>1704</v>
      </c>
      <c r="X1" t="s">
        <v>1706</v>
      </c>
      <c r="Y1" t="s">
        <v>1707</v>
      </c>
      <c r="Z1" t="s">
        <v>1725</v>
      </c>
      <c r="AA1" t="s">
        <v>1726</v>
      </c>
      <c r="AB1" t="s">
        <v>15</v>
      </c>
      <c r="AC1" t="s">
        <v>16</v>
      </c>
      <c r="AD1" t="s">
        <v>17</v>
      </c>
      <c r="AE1" t="s">
        <v>18</v>
      </c>
      <c r="AF1" t="s">
        <v>91</v>
      </c>
      <c r="AG1" t="s">
        <v>19</v>
      </c>
      <c r="AH1" t="s">
        <v>92</v>
      </c>
      <c r="AI1" t="s">
        <v>20</v>
      </c>
      <c r="AJ1" t="s">
        <v>21</v>
      </c>
      <c r="AK1" t="s">
        <v>64</v>
      </c>
      <c r="AL1" t="s">
        <v>22</v>
      </c>
      <c r="AM1" t="s">
        <v>65</v>
      </c>
      <c r="AN1" t="s">
        <v>67</v>
      </c>
      <c r="AO1" t="s">
        <v>23</v>
      </c>
      <c r="AP1" t="s">
        <v>114</v>
      </c>
      <c r="AQ1" t="s">
        <v>112</v>
      </c>
      <c r="AR1" t="s">
        <v>111</v>
      </c>
      <c r="AS1" t="s">
        <v>110</v>
      </c>
      <c r="AT1" t="s">
        <v>109</v>
      </c>
      <c r="AU1" t="s">
        <v>113</v>
      </c>
      <c r="AV1" t="s">
        <v>115</v>
      </c>
      <c r="AW1" t="s">
        <v>116</v>
      </c>
      <c r="AX1" t="s">
        <v>117</v>
      </c>
      <c r="AY1" t="s">
        <v>118</v>
      </c>
      <c r="AZ1" t="s">
        <v>119</v>
      </c>
      <c r="BA1" t="s">
        <v>120</v>
      </c>
      <c r="BB1" t="s">
        <v>24</v>
      </c>
      <c r="BC1" t="s">
        <v>25</v>
      </c>
      <c r="BD1" t="s">
        <v>68</v>
      </c>
      <c r="BE1" t="s">
        <v>69</v>
      </c>
      <c r="BF1" t="s">
        <v>72</v>
      </c>
      <c r="BG1" t="s">
        <v>26</v>
      </c>
      <c r="BH1" t="s">
        <v>33</v>
      </c>
      <c r="BI1" t="s">
        <v>97</v>
      </c>
      <c r="BJ1" t="s">
        <v>30</v>
      </c>
      <c r="BK1" t="s">
        <v>27</v>
      </c>
      <c r="BL1" t="s">
        <v>34</v>
      </c>
      <c r="BM1" t="s">
        <v>35</v>
      </c>
      <c r="BN1" t="s">
        <v>36</v>
      </c>
      <c r="BO1" t="s">
        <v>74</v>
      </c>
      <c r="BP1" t="s">
        <v>75</v>
      </c>
      <c r="BQ1" t="s">
        <v>37</v>
      </c>
      <c r="BR1" t="s">
        <v>38</v>
      </c>
      <c r="BS1" t="s">
        <v>28</v>
      </c>
      <c r="BT1" t="s">
        <v>86</v>
      </c>
      <c r="BU1" t="s">
        <v>87</v>
      </c>
      <c r="BV1" t="s">
        <v>88</v>
      </c>
      <c r="BW1" t="s">
        <v>29</v>
      </c>
      <c r="BX1" t="s">
        <v>39</v>
      </c>
      <c r="BY1" t="s">
        <v>99</v>
      </c>
      <c r="BZ1" t="s">
        <v>31</v>
      </c>
      <c r="CA1" t="s">
        <v>32</v>
      </c>
      <c r="CB1" t="s">
        <v>40</v>
      </c>
      <c r="CC1" t="s">
        <v>41</v>
      </c>
      <c r="CD1" t="s">
        <v>42</v>
      </c>
      <c r="CE1" t="s">
        <v>81</v>
      </c>
      <c r="CF1" t="s">
        <v>82</v>
      </c>
      <c r="CG1" t="s">
        <v>43</v>
      </c>
      <c r="CH1" t="s">
        <v>44</v>
      </c>
      <c r="CI1" t="s">
        <v>46</v>
      </c>
      <c r="CJ1" t="s">
        <v>47</v>
      </c>
      <c r="CK1" t="s">
        <v>50</v>
      </c>
      <c r="CL1" t="s">
        <v>100</v>
      </c>
      <c r="CM1" t="s">
        <v>48</v>
      </c>
      <c r="CN1" t="s">
        <v>49</v>
      </c>
      <c r="CO1" t="s">
        <v>51</v>
      </c>
      <c r="CP1" t="s">
        <v>52</v>
      </c>
      <c r="CQ1" t="s">
        <v>53</v>
      </c>
      <c r="CR1" t="s">
        <v>54</v>
      </c>
      <c r="CS1" t="s">
        <v>55</v>
      </c>
      <c r="CT1" t="s">
        <v>56</v>
      </c>
      <c r="CU1" t="s">
        <v>57</v>
      </c>
      <c r="CV1" t="s">
        <v>45</v>
      </c>
    </row>
    <row r="2" spans="1:100" x14ac:dyDescent="0.25">
      <c r="A2" t="s">
        <v>1243</v>
      </c>
      <c r="B2" t="s">
        <v>769</v>
      </c>
      <c r="C2" s="1">
        <v>45758</v>
      </c>
      <c r="D2" t="s">
        <v>1244</v>
      </c>
      <c r="E2">
        <v>25453400</v>
      </c>
      <c r="F2">
        <v>20</v>
      </c>
      <c r="G2">
        <v>10</v>
      </c>
      <c r="H2" t="s">
        <v>849</v>
      </c>
      <c r="I2" t="s">
        <v>849</v>
      </c>
      <c r="J2" t="s">
        <v>1245</v>
      </c>
      <c r="K2" s="1">
        <v>23182</v>
      </c>
      <c r="L2" s="15">
        <f>DATEDIF(K2, DATE(2025,8,29), "Y")</f>
        <v>62</v>
      </c>
      <c r="M2" t="s">
        <v>59</v>
      </c>
      <c r="N2" t="s">
        <v>108</v>
      </c>
      <c r="O2" t="s">
        <v>60</v>
      </c>
      <c r="P2" t="s">
        <v>61</v>
      </c>
      <c r="Q2" t="s">
        <v>61</v>
      </c>
      <c r="R2" t="s">
        <v>62</v>
      </c>
      <c r="S2" t="s">
        <v>61</v>
      </c>
      <c r="T2" t="s">
        <v>1246</v>
      </c>
      <c r="U2" t="s">
        <v>63</v>
      </c>
      <c r="V2" t="s">
        <v>66</v>
      </c>
      <c r="W2" t="s">
        <v>66</v>
      </c>
      <c r="X2" t="s">
        <v>66</v>
      </c>
      <c r="Y2" t="s">
        <v>66</v>
      </c>
      <c r="Z2" t="s">
        <v>66</v>
      </c>
      <c r="AA2" t="s">
        <v>66</v>
      </c>
      <c r="AB2" t="s">
        <v>61</v>
      </c>
      <c r="AC2" t="s">
        <v>1247</v>
      </c>
      <c r="AD2">
        <v>2</v>
      </c>
      <c r="AE2">
        <v>2</v>
      </c>
      <c r="AF2" t="s">
        <v>61</v>
      </c>
      <c r="AG2" t="s">
        <v>1248</v>
      </c>
      <c r="AH2" t="s">
        <v>61</v>
      </c>
      <c r="AI2" t="s">
        <v>904</v>
      </c>
      <c r="AJ2" t="s">
        <v>61</v>
      </c>
      <c r="AK2" t="s">
        <v>66</v>
      </c>
      <c r="AL2" t="s">
        <v>61</v>
      </c>
      <c r="AM2" t="s">
        <v>66</v>
      </c>
      <c r="AN2">
        <v>2</v>
      </c>
      <c r="AO2" t="s">
        <v>61</v>
      </c>
      <c r="AP2" t="s">
        <v>1249</v>
      </c>
      <c r="AQ2" t="s">
        <v>1250</v>
      </c>
      <c r="AR2" t="s">
        <v>63</v>
      </c>
      <c r="AS2" t="s">
        <v>61</v>
      </c>
      <c r="AT2" t="s">
        <v>63</v>
      </c>
      <c r="AU2">
        <v>5</v>
      </c>
      <c r="AV2" t="s">
        <v>66</v>
      </c>
      <c r="AW2" t="s">
        <v>66</v>
      </c>
      <c r="AX2" t="s">
        <v>66</v>
      </c>
      <c r="AY2" t="s">
        <v>66</v>
      </c>
      <c r="AZ2" t="s">
        <v>66</v>
      </c>
      <c r="BA2" t="s">
        <v>66</v>
      </c>
      <c r="BB2">
        <v>220</v>
      </c>
      <c r="BC2" t="s">
        <v>70</v>
      </c>
      <c r="BD2">
        <v>3</v>
      </c>
      <c r="BE2" s="2" t="s">
        <v>1251</v>
      </c>
      <c r="BF2" t="s">
        <v>104</v>
      </c>
      <c r="BG2" t="s">
        <v>71</v>
      </c>
      <c r="BH2" t="s">
        <v>63</v>
      </c>
      <c r="BI2" t="s">
        <v>98</v>
      </c>
      <c r="BJ2" s="3" t="s">
        <v>77</v>
      </c>
      <c r="BK2" t="s">
        <v>1252</v>
      </c>
      <c r="BL2">
        <v>30</v>
      </c>
      <c r="BM2" t="s">
        <v>73</v>
      </c>
      <c r="BN2" s="4" t="s">
        <v>76</v>
      </c>
      <c r="BO2" t="s">
        <v>1253</v>
      </c>
      <c r="BP2" t="s">
        <v>797</v>
      </c>
      <c r="BQ2" t="s">
        <v>78</v>
      </c>
      <c r="BR2" t="s">
        <v>1254</v>
      </c>
      <c r="BS2" t="s">
        <v>950</v>
      </c>
      <c r="BT2">
        <v>7</v>
      </c>
      <c r="BU2" s="2" t="s">
        <v>1251</v>
      </c>
      <c r="BV2" t="s">
        <v>104</v>
      </c>
      <c r="BW2" t="s">
        <v>79</v>
      </c>
      <c r="BX2" t="s">
        <v>952</v>
      </c>
      <c r="BY2" t="s">
        <v>101</v>
      </c>
      <c r="BZ2" s="3" t="s">
        <v>77</v>
      </c>
      <c r="CA2" t="s">
        <v>1255</v>
      </c>
      <c r="CB2">
        <v>30</v>
      </c>
      <c r="CC2">
        <v>2</v>
      </c>
      <c r="CD2" s="3" t="s">
        <v>80</v>
      </c>
      <c r="CE2">
        <v>200</v>
      </c>
      <c r="CF2">
        <v>500</v>
      </c>
      <c r="CG2" t="s">
        <v>970</v>
      </c>
      <c r="CH2">
        <v>5</v>
      </c>
      <c r="CI2" t="s">
        <v>793</v>
      </c>
      <c r="CJ2" t="s">
        <v>1256</v>
      </c>
      <c r="CK2" t="s">
        <v>1257</v>
      </c>
      <c r="CL2" s="5" t="s">
        <v>1258</v>
      </c>
      <c r="CM2" s="3" t="s">
        <v>84</v>
      </c>
      <c r="CN2" t="s">
        <v>1259</v>
      </c>
      <c r="CO2" t="s">
        <v>83</v>
      </c>
      <c r="CP2">
        <v>8</v>
      </c>
      <c r="CQ2" t="s">
        <v>85</v>
      </c>
      <c r="CR2" t="s">
        <v>1260</v>
      </c>
      <c r="CS2" t="s">
        <v>1261</v>
      </c>
      <c r="CT2" t="s">
        <v>1262</v>
      </c>
      <c r="CU2">
        <v>4</v>
      </c>
      <c r="CV2" t="s">
        <v>1263</v>
      </c>
    </row>
    <row r="3" spans="1:100" x14ac:dyDescent="0.25">
      <c r="A3" t="s">
        <v>1264</v>
      </c>
      <c r="B3" t="s">
        <v>769</v>
      </c>
      <c r="C3" s="1">
        <v>34504</v>
      </c>
      <c r="D3" t="s">
        <v>1265</v>
      </c>
      <c r="E3">
        <v>76561618</v>
      </c>
      <c r="F3">
        <v>9</v>
      </c>
      <c r="G3">
        <v>9</v>
      </c>
      <c r="H3" t="s">
        <v>849</v>
      </c>
      <c r="I3" t="s">
        <v>849</v>
      </c>
      <c r="J3" t="s">
        <v>849</v>
      </c>
      <c r="K3" s="1">
        <v>34504</v>
      </c>
      <c r="L3" s="15">
        <f t="shared" ref="L3:L24" si="0">DATEDIF(K3, DATE(2025,8,29), "Y")</f>
        <v>31</v>
      </c>
      <c r="M3" t="s">
        <v>59</v>
      </c>
      <c r="N3" t="s">
        <v>89</v>
      </c>
      <c r="O3" t="s">
        <v>90</v>
      </c>
      <c r="P3" t="s">
        <v>61</v>
      </c>
      <c r="Q3" t="s">
        <v>61</v>
      </c>
      <c r="R3" t="s">
        <v>426</v>
      </c>
      <c r="S3" t="s">
        <v>61</v>
      </c>
      <c r="T3" t="s">
        <v>1266</v>
      </c>
      <c r="U3" t="s">
        <v>61</v>
      </c>
      <c r="V3" t="s">
        <v>1723</v>
      </c>
      <c r="W3" t="s">
        <v>1724</v>
      </c>
      <c r="X3" t="s">
        <v>1728</v>
      </c>
      <c r="Y3" t="s">
        <v>1708</v>
      </c>
      <c r="Z3" t="s">
        <v>66</v>
      </c>
      <c r="AA3" t="s">
        <v>66</v>
      </c>
      <c r="AB3" t="s">
        <v>63</v>
      </c>
      <c r="AC3" t="s">
        <v>66</v>
      </c>
      <c r="AD3">
        <v>0</v>
      </c>
      <c r="AE3">
        <v>0</v>
      </c>
      <c r="AF3" t="s">
        <v>63</v>
      </c>
      <c r="AG3" t="s">
        <v>66</v>
      </c>
      <c r="AH3" t="s">
        <v>66</v>
      </c>
      <c r="AI3" t="s">
        <v>66</v>
      </c>
      <c r="AJ3" t="s">
        <v>61</v>
      </c>
      <c r="AK3" t="s">
        <v>66</v>
      </c>
      <c r="AL3" t="s">
        <v>93</v>
      </c>
      <c r="AM3" t="s">
        <v>66</v>
      </c>
      <c r="AN3">
        <v>0</v>
      </c>
      <c r="AO3" t="s">
        <v>63</v>
      </c>
      <c r="AP3" t="s">
        <v>1267</v>
      </c>
      <c r="AQ3" t="s">
        <v>1268</v>
      </c>
      <c r="AR3" t="s">
        <v>63</v>
      </c>
      <c r="AS3" t="s">
        <v>61</v>
      </c>
      <c r="AT3" t="s">
        <v>61</v>
      </c>
      <c r="AU3">
        <v>11</v>
      </c>
      <c r="AV3" t="s">
        <v>66</v>
      </c>
      <c r="AW3" t="s">
        <v>66</v>
      </c>
      <c r="AX3" t="s">
        <v>66</v>
      </c>
      <c r="AY3" t="s">
        <v>66</v>
      </c>
      <c r="AZ3" t="s">
        <v>66</v>
      </c>
      <c r="BA3" t="s">
        <v>66</v>
      </c>
      <c r="BB3">
        <v>216</v>
      </c>
      <c r="BC3" t="s">
        <v>70</v>
      </c>
      <c r="BD3">
        <v>4</v>
      </c>
      <c r="BE3" t="s">
        <v>105</v>
      </c>
      <c r="BF3" t="s">
        <v>104</v>
      </c>
      <c r="BG3" t="s">
        <v>71</v>
      </c>
      <c r="BH3" t="s">
        <v>63</v>
      </c>
      <c r="BI3" t="s">
        <v>624</v>
      </c>
      <c r="BJ3">
        <v>3</v>
      </c>
      <c r="BK3" t="s">
        <v>1269</v>
      </c>
      <c r="BL3" s="3" t="s">
        <v>1270</v>
      </c>
      <c r="BM3" t="s">
        <v>882</v>
      </c>
      <c r="BN3">
        <v>4</v>
      </c>
      <c r="BO3">
        <v>200</v>
      </c>
      <c r="BP3" t="s">
        <v>94</v>
      </c>
      <c r="BQ3" t="s">
        <v>78</v>
      </c>
      <c r="BR3" t="s">
        <v>95</v>
      </c>
      <c r="BS3" t="s">
        <v>107</v>
      </c>
      <c r="BT3">
        <v>4</v>
      </c>
      <c r="BU3" t="s">
        <v>105</v>
      </c>
      <c r="BV3" t="s">
        <v>104</v>
      </c>
      <c r="BW3" t="s">
        <v>96</v>
      </c>
      <c r="BX3" t="s">
        <v>63</v>
      </c>
      <c r="BY3" t="s">
        <v>102</v>
      </c>
      <c r="BZ3" s="3" t="s">
        <v>77</v>
      </c>
      <c r="CA3" t="s">
        <v>1271</v>
      </c>
      <c r="CB3" s="3" t="s">
        <v>722</v>
      </c>
      <c r="CC3" t="s">
        <v>968</v>
      </c>
      <c r="CD3" s="3" t="s">
        <v>103</v>
      </c>
      <c r="CE3" t="s">
        <v>1272</v>
      </c>
      <c r="CF3" t="s">
        <v>1273</v>
      </c>
      <c r="CG3" t="s">
        <v>970</v>
      </c>
      <c r="CH3" t="s">
        <v>1274</v>
      </c>
      <c r="CI3" t="s">
        <v>63</v>
      </c>
      <c r="CJ3" t="s">
        <v>66</v>
      </c>
      <c r="CK3" t="s">
        <v>66</v>
      </c>
      <c r="CL3" t="s">
        <v>66</v>
      </c>
      <c r="CM3" t="s">
        <v>66</v>
      </c>
      <c r="CN3" t="s">
        <v>66</v>
      </c>
      <c r="CO3" t="s">
        <v>66</v>
      </c>
      <c r="CP3" t="s">
        <v>66</v>
      </c>
      <c r="CQ3" t="s">
        <v>66</v>
      </c>
      <c r="CR3" t="s">
        <v>66</v>
      </c>
      <c r="CS3" t="s">
        <v>66</v>
      </c>
      <c r="CT3" t="s">
        <v>66</v>
      </c>
      <c r="CU3" t="s">
        <v>66</v>
      </c>
      <c r="CV3" t="s">
        <v>1275</v>
      </c>
    </row>
    <row r="4" spans="1:100" x14ac:dyDescent="0.25">
      <c r="A4" t="s">
        <v>1276</v>
      </c>
      <c r="B4" t="s">
        <v>769</v>
      </c>
      <c r="C4" s="1">
        <v>45758</v>
      </c>
      <c r="D4" t="s">
        <v>1277</v>
      </c>
      <c r="E4">
        <v>22243503</v>
      </c>
      <c r="F4">
        <v>45</v>
      </c>
      <c r="G4">
        <v>25</v>
      </c>
      <c r="H4" t="s">
        <v>848</v>
      </c>
      <c r="I4" t="s">
        <v>1241</v>
      </c>
      <c r="J4" t="s">
        <v>1241</v>
      </c>
      <c r="K4" s="1">
        <v>24080</v>
      </c>
      <c r="L4" s="15">
        <f t="shared" si="0"/>
        <v>59</v>
      </c>
      <c r="M4" t="s">
        <v>59</v>
      </c>
      <c r="N4" t="s">
        <v>108</v>
      </c>
      <c r="O4" t="s">
        <v>322</v>
      </c>
      <c r="P4" t="s">
        <v>61</v>
      </c>
      <c r="Q4" t="s">
        <v>63</v>
      </c>
      <c r="R4" t="s">
        <v>129</v>
      </c>
      <c r="S4" t="s">
        <v>61</v>
      </c>
      <c r="T4" t="s">
        <v>1278</v>
      </c>
      <c r="U4" t="s">
        <v>61</v>
      </c>
      <c r="V4" t="s">
        <v>1733</v>
      </c>
      <c r="W4" t="s">
        <v>1732</v>
      </c>
      <c r="X4" t="s">
        <v>1723</v>
      </c>
      <c r="Y4" t="s">
        <v>1724</v>
      </c>
      <c r="Z4" t="s">
        <v>66</v>
      </c>
      <c r="AA4" t="s">
        <v>66</v>
      </c>
      <c r="AB4" t="s">
        <v>61</v>
      </c>
      <c r="AC4" t="s">
        <v>1279</v>
      </c>
      <c r="AD4">
        <v>1</v>
      </c>
      <c r="AE4">
        <v>1</v>
      </c>
      <c r="AF4" t="s">
        <v>61</v>
      </c>
      <c r="AG4" t="s">
        <v>1280</v>
      </c>
      <c r="AH4" t="s">
        <v>63</v>
      </c>
      <c r="AI4" t="s">
        <v>66</v>
      </c>
      <c r="AJ4" t="s">
        <v>61</v>
      </c>
      <c r="AK4" t="s">
        <v>66</v>
      </c>
      <c r="AL4" t="s">
        <v>61</v>
      </c>
      <c r="AM4" t="s">
        <v>66</v>
      </c>
      <c r="AN4">
        <v>0</v>
      </c>
      <c r="AO4" t="s">
        <v>63</v>
      </c>
      <c r="AP4" t="s">
        <v>1281</v>
      </c>
      <c r="AQ4" t="s">
        <v>1282</v>
      </c>
      <c r="AR4" t="s">
        <v>63</v>
      </c>
      <c r="AS4" t="s">
        <v>61</v>
      </c>
      <c r="AT4" t="s">
        <v>61</v>
      </c>
      <c r="AU4">
        <v>4.5</v>
      </c>
      <c r="AV4" t="s">
        <v>66</v>
      </c>
      <c r="AW4" t="s">
        <v>66</v>
      </c>
      <c r="AX4" t="s">
        <v>66</v>
      </c>
      <c r="AY4" t="s">
        <v>66</v>
      </c>
      <c r="AZ4" t="s">
        <v>66</v>
      </c>
      <c r="BA4" t="s">
        <v>66</v>
      </c>
      <c r="BB4">
        <v>110</v>
      </c>
      <c r="BC4" t="s">
        <v>70</v>
      </c>
      <c r="BD4">
        <v>3</v>
      </c>
      <c r="BE4" t="s">
        <v>1283</v>
      </c>
      <c r="BF4" t="s">
        <v>104</v>
      </c>
      <c r="BG4" t="s">
        <v>71</v>
      </c>
      <c r="BH4" t="s">
        <v>63</v>
      </c>
      <c r="BI4" t="s">
        <v>254</v>
      </c>
      <c r="BJ4" s="3" t="s">
        <v>77</v>
      </c>
      <c r="BK4" t="s">
        <v>1284</v>
      </c>
      <c r="BL4" s="3" t="s">
        <v>1285</v>
      </c>
      <c r="BM4" t="s">
        <v>73</v>
      </c>
      <c r="BN4">
        <v>3</v>
      </c>
      <c r="BO4" t="s">
        <v>1286</v>
      </c>
      <c r="BP4" t="s">
        <v>1287</v>
      </c>
      <c r="BQ4" t="s">
        <v>78</v>
      </c>
      <c r="BR4" t="s">
        <v>1288</v>
      </c>
      <c r="BS4" t="s">
        <v>1289</v>
      </c>
      <c r="BT4">
        <v>7</v>
      </c>
      <c r="BU4" t="s">
        <v>1283</v>
      </c>
      <c r="BV4" t="s">
        <v>104</v>
      </c>
      <c r="BW4" t="s">
        <v>1256</v>
      </c>
      <c r="BX4" t="s">
        <v>1290</v>
      </c>
      <c r="BY4" t="s">
        <v>1258</v>
      </c>
      <c r="BZ4" t="s">
        <v>93</v>
      </c>
      <c r="CA4" t="s">
        <v>93</v>
      </c>
      <c r="CB4">
        <v>12</v>
      </c>
      <c r="CC4">
        <v>8</v>
      </c>
      <c r="CD4" s="3" t="s">
        <v>379</v>
      </c>
      <c r="CE4" t="s">
        <v>1291</v>
      </c>
      <c r="CF4" t="s">
        <v>1292</v>
      </c>
      <c r="CG4" t="s">
        <v>1262</v>
      </c>
      <c r="CH4">
        <v>4</v>
      </c>
      <c r="CI4" t="s">
        <v>63</v>
      </c>
      <c r="CJ4" t="s">
        <v>66</v>
      </c>
      <c r="CK4" t="s">
        <v>66</v>
      </c>
      <c r="CL4" t="s">
        <v>66</v>
      </c>
      <c r="CM4" t="s">
        <v>66</v>
      </c>
      <c r="CN4" t="s">
        <v>66</v>
      </c>
      <c r="CO4" t="s">
        <v>66</v>
      </c>
      <c r="CP4" t="s">
        <v>66</v>
      </c>
      <c r="CQ4" t="s">
        <v>66</v>
      </c>
      <c r="CR4" t="s">
        <v>66</v>
      </c>
      <c r="CS4" t="s">
        <v>66</v>
      </c>
      <c r="CT4" t="s">
        <v>66</v>
      </c>
      <c r="CU4" t="s">
        <v>66</v>
      </c>
      <c r="CV4" t="s">
        <v>1293</v>
      </c>
    </row>
    <row r="5" spans="1:100" x14ac:dyDescent="0.25">
      <c r="A5" t="s">
        <v>1294</v>
      </c>
      <c r="B5" t="s">
        <v>769</v>
      </c>
      <c r="C5" s="1">
        <v>45762</v>
      </c>
      <c r="D5" t="s">
        <v>1295</v>
      </c>
      <c r="E5">
        <v>40691053</v>
      </c>
      <c r="F5">
        <v>26</v>
      </c>
      <c r="G5">
        <v>20</v>
      </c>
      <c r="H5" t="s">
        <v>849</v>
      </c>
      <c r="I5" t="s">
        <v>849</v>
      </c>
      <c r="J5" t="s">
        <v>1296</v>
      </c>
      <c r="K5" s="1">
        <v>28605</v>
      </c>
      <c r="L5" s="15">
        <f t="shared" si="0"/>
        <v>47</v>
      </c>
      <c r="M5" t="s">
        <v>59</v>
      </c>
      <c r="N5" t="s">
        <v>108</v>
      </c>
      <c r="O5" t="s">
        <v>60</v>
      </c>
      <c r="P5" t="s">
        <v>61</v>
      </c>
      <c r="Q5" t="s">
        <v>61</v>
      </c>
      <c r="R5" t="s">
        <v>285</v>
      </c>
      <c r="S5" t="s">
        <v>61</v>
      </c>
      <c r="T5" t="s">
        <v>1297</v>
      </c>
      <c r="U5" t="s">
        <v>61</v>
      </c>
      <c r="V5" t="s">
        <v>1723</v>
      </c>
      <c r="W5" t="s">
        <v>1724</v>
      </c>
      <c r="X5" t="s">
        <v>66</v>
      </c>
      <c r="Y5" t="s">
        <v>66</v>
      </c>
      <c r="Z5" t="s">
        <v>66</v>
      </c>
      <c r="AA5" t="s">
        <v>66</v>
      </c>
      <c r="AB5" t="s">
        <v>63</v>
      </c>
      <c r="AC5" t="s">
        <v>66</v>
      </c>
      <c r="AD5">
        <v>3</v>
      </c>
      <c r="AE5">
        <v>4</v>
      </c>
      <c r="AF5" t="s">
        <v>61</v>
      </c>
      <c r="AG5" t="s">
        <v>132</v>
      </c>
      <c r="AH5" t="s">
        <v>63</v>
      </c>
      <c r="AI5" t="s">
        <v>66</v>
      </c>
      <c r="AJ5" t="s">
        <v>61</v>
      </c>
      <c r="AK5" t="s">
        <v>66</v>
      </c>
      <c r="AL5" t="s">
        <v>63</v>
      </c>
      <c r="AM5" t="s">
        <v>1298</v>
      </c>
      <c r="AN5">
        <v>1</v>
      </c>
      <c r="AO5" t="s">
        <v>61</v>
      </c>
      <c r="AP5" t="s">
        <v>1299</v>
      </c>
      <c r="AQ5" t="s">
        <v>1300</v>
      </c>
      <c r="AR5" t="s">
        <v>63</v>
      </c>
      <c r="AS5" t="s">
        <v>63</v>
      </c>
      <c r="AT5" t="s">
        <v>61</v>
      </c>
      <c r="AU5">
        <v>4</v>
      </c>
      <c r="AV5" t="s">
        <v>66</v>
      </c>
      <c r="AW5" t="s">
        <v>66</v>
      </c>
      <c r="AX5" t="s">
        <v>66</v>
      </c>
      <c r="AY5" t="s">
        <v>66</v>
      </c>
      <c r="AZ5" t="s">
        <v>66</v>
      </c>
      <c r="BA5" t="s">
        <v>66</v>
      </c>
      <c r="BB5">
        <v>180</v>
      </c>
      <c r="BC5" t="s">
        <v>70</v>
      </c>
      <c r="BD5">
        <v>3</v>
      </c>
      <c r="BE5" t="s">
        <v>672</v>
      </c>
      <c r="BF5" t="s">
        <v>104</v>
      </c>
      <c r="BG5" t="s">
        <v>71</v>
      </c>
      <c r="BH5" t="s">
        <v>63</v>
      </c>
      <c r="BI5" t="s">
        <v>174</v>
      </c>
      <c r="BJ5" s="3" t="s">
        <v>77</v>
      </c>
      <c r="BK5" t="s">
        <v>860</v>
      </c>
      <c r="BL5" t="s">
        <v>376</v>
      </c>
      <c r="BM5" t="s">
        <v>143</v>
      </c>
      <c r="BN5" s="3" t="s">
        <v>589</v>
      </c>
      <c r="BO5" t="s">
        <v>1301</v>
      </c>
      <c r="BP5" t="s">
        <v>1302</v>
      </c>
      <c r="BQ5" t="s">
        <v>78</v>
      </c>
      <c r="BR5" t="s">
        <v>227</v>
      </c>
      <c r="BS5" t="s">
        <v>107</v>
      </c>
      <c r="BT5">
        <v>4</v>
      </c>
      <c r="BU5" t="s">
        <v>388</v>
      </c>
      <c r="BV5" t="s">
        <v>104</v>
      </c>
      <c r="BW5" t="s">
        <v>96</v>
      </c>
      <c r="BX5" t="s">
        <v>63</v>
      </c>
      <c r="BY5" t="s">
        <v>624</v>
      </c>
      <c r="BZ5">
        <v>12</v>
      </c>
      <c r="CA5" t="s">
        <v>1303</v>
      </c>
      <c r="CB5" s="3" t="s">
        <v>926</v>
      </c>
      <c r="CC5">
        <v>0.5</v>
      </c>
      <c r="CD5" s="3" t="s">
        <v>556</v>
      </c>
      <c r="CE5" t="s">
        <v>228</v>
      </c>
      <c r="CF5" s="3" t="s">
        <v>1304</v>
      </c>
      <c r="CG5" t="s">
        <v>970</v>
      </c>
      <c r="CH5" s="3" t="s">
        <v>103</v>
      </c>
      <c r="CI5" t="s">
        <v>63</v>
      </c>
      <c r="CJ5" s="3" t="s">
        <v>66</v>
      </c>
      <c r="CK5" s="3" t="s">
        <v>66</v>
      </c>
      <c r="CL5" s="3" t="s">
        <v>66</v>
      </c>
      <c r="CM5" s="3" t="s">
        <v>66</v>
      </c>
      <c r="CN5" s="3" t="s">
        <v>66</v>
      </c>
      <c r="CO5" s="3" t="s">
        <v>66</v>
      </c>
      <c r="CP5" s="3" t="s">
        <v>66</v>
      </c>
      <c r="CQ5" s="3" t="s">
        <v>66</v>
      </c>
      <c r="CR5" s="3" t="s">
        <v>66</v>
      </c>
      <c r="CS5" s="3" t="s">
        <v>66</v>
      </c>
      <c r="CT5" s="3" t="s">
        <v>66</v>
      </c>
      <c r="CU5" s="3" t="s">
        <v>66</v>
      </c>
      <c r="CV5" s="3" t="s">
        <v>1305</v>
      </c>
    </row>
    <row r="6" spans="1:100" x14ac:dyDescent="0.25">
      <c r="A6" t="s">
        <v>1306</v>
      </c>
      <c r="B6" t="s">
        <v>769</v>
      </c>
      <c r="C6" s="1">
        <v>45762</v>
      </c>
      <c r="D6" t="s">
        <v>1307</v>
      </c>
      <c r="E6">
        <v>42043898</v>
      </c>
      <c r="F6">
        <v>25</v>
      </c>
      <c r="G6">
        <v>10</v>
      </c>
      <c r="H6" t="s">
        <v>849</v>
      </c>
      <c r="I6" t="s">
        <v>849</v>
      </c>
      <c r="J6" t="s">
        <v>849</v>
      </c>
      <c r="K6" s="1">
        <v>29842</v>
      </c>
      <c r="L6" s="15">
        <f t="shared" si="0"/>
        <v>43</v>
      </c>
      <c r="M6" t="s">
        <v>59</v>
      </c>
      <c r="N6" t="s">
        <v>108</v>
      </c>
      <c r="O6" t="s">
        <v>60</v>
      </c>
      <c r="P6" t="s">
        <v>61</v>
      </c>
      <c r="Q6" t="s">
        <v>63</v>
      </c>
      <c r="R6" t="s">
        <v>285</v>
      </c>
      <c r="S6" t="s">
        <v>61</v>
      </c>
      <c r="T6" t="s">
        <v>1297</v>
      </c>
      <c r="U6" t="s">
        <v>61</v>
      </c>
      <c r="V6" t="s">
        <v>1723</v>
      </c>
      <c r="W6" t="s">
        <v>1724</v>
      </c>
      <c r="X6" t="s">
        <v>66</v>
      </c>
      <c r="Y6" t="s">
        <v>66</v>
      </c>
      <c r="Z6" t="s">
        <v>66</v>
      </c>
      <c r="AA6" t="s">
        <v>66</v>
      </c>
      <c r="AB6" t="s">
        <v>63</v>
      </c>
      <c r="AC6" t="s">
        <v>66</v>
      </c>
      <c r="AD6">
        <v>2</v>
      </c>
      <c r="AE6">
        <v>2</v>
      </c>
      <c r="AF6" t="s">
        <v>61</v>
      </c>
      <c r="AG6" t="s">
        <v>132</v>
      </c>
      <c r="AH6" t="s">
        <v>63</v>
      </c>
      <c r="AI6" t="s">
        <v>66</v>
      </c>
      <c r="AJ6" t="s">
        <v>61</v>
      </c>
      <c r="AK6" t="s">
        <v>66</v>
      </c>
      <c r="AL6" t="s">
        <v>93</v>
      </c>
      <c r="AM6" t="s">
        <v>66</v>
      </c>
      <c r="AN6">
        <v>1</v>
      </c>
      <c r="AO6" t="s">
        <v>61</v>
      </c>
      <c r="AP6" t="s">
        <v>1308</v>
      </c>
      <c r="AQ6" t="s">
        <v>1309</v>
      </c>
      <c r="AR6" t="s">
        <v>63</v>
      </c>
      <c r="AS6" t="s">
        <v>63</v>
      </c>
      <c r="AT6" t="s">
        <v>61</v>
      </c>
      <c r="AU6">
        <v>4</v>
      </c>
      <c r="AV6" t="s">
        <v>66</v>
      </c>
      <c r="AW6" t="s">
        <v>66</v>
      </c>
      <c r="AX6" t="s">
        <v>66</v>
      </c>
      <c r="AY6" t="s">
        <v>66</v>
      </c>
      <c r="AZ6" t="s">
        <v>66</v>
      </c>
      <c r="BA6" t="s">
        <v>66</v>
      </c>
      <c r="BB6">
        <v>180</v>
      </c>
      <c r="BC6" t="s">
        <v>70</v>
      </c>
      <c r="BD6" s="3" t="s">
        <v>142</v>
      </c>
      <c r="BE6" t="s">
        <v>1310</v>
      </c>
      <c r="BF6" t="s">
        <v>104</v>
      </c>
      <c r="BG6" t="s">
        <v>71</v>
      </c>
      <c r="BH6" t="s">
        <v>63</v>
      </c>
      <c r="BI6" t="s">
        <v>174</v>
      </c>
      <c r="BJ6">
        <v>5</v>
      </c>
      <c r="BK6" t="s">
        <v>1311</v>
      </c>
      <c r="BL6" t="s">
        <v>484</v>
      </c>
      <c r="BM6">
        <v>72</v>
      </c>
      <c r="BN6">
        <v>8</v>
      </c>
      <c r="BO6" t="s">
        <v>1312</v>
      </c>
      <c r="BP6" t="s">
        <v>1313</v>
      </c>
      <c r="BQ6" t="s">
        <v>970</v>
      </c>
      <c r="BR6" t="s">
        <v>1199</v>
      </c>
      <c r="BS6" t="s">
        <v>63</v>
      </c>
      <c r="BT6" t="s">
        <v>66</v>
      </c>
      <c r="BU6" t="s">
        <v>66</v>
      </c>
      <c r="BV6" t="s">
        <v>66</v>
      </c>
      <c r="BW6" t="s">
        <v>66</v>
      </c>
      <c r="BX6" t="s">
        <v>66</v>
      </c>
      <c r="BY6" t="s">
        <v>66</v>
      </c>
      <c r="BZ6" t="s">
        <v>66</v>
      </c>
      <c r="CA6" t="s">
        <v>66</v>
      </c>
      <c r="CB6" t="s">
        <v>66</v>
      </c>
      <c r="CC6" t="s">
        <v>66</v>
      </c>
      <c r="CD6" t="s">
        <v>66</v>
      </c>
      <c r="CE6" t="s">
        <v>66</v>
      </c>
      <c r="CF6" t="s">
        <v>66</v>
      </c>
      <c r="CG6" t="s">
        <v>66</v>
      </c>
      <c r="CH6" t="s">
        <v>66</v>
      </c>
      <c r="CI6" t="s">
        <v>63</v>
      </c>
      <c r="CJ6" s="3" t="s">
        <v>66</v>
      </c>
      <c r="CK6" s="3" t="s">
        <v>66</v>
      </c>
      <c r="CL6" s="3" t="s">
        <v>66</v>
      </c>
      <c r="CM6" s="3" t="s">
        <v>66</v>
      </c>
      <c r="CN6" s="3" t="s">
        <v>66</v>
      </c>
      <c r="CO6" s="3" t="s">
        <v>66</v>
      </c>
      <c r="CP6" s="3" t="s">
        <v>66</v>
      </c>
      <c r="CQ6" s="3" t="s">
        <v>66</v>
      </c>
      <c r="CR6" s="3" t="s">
        <v>66</v>
      </c>
      <c r="CS6" s="3" t="s">
        <v>66</v>
      </c>
      <c r="CT6" s="3" t="s">
        <v>66</v>
      </c>
      <c r="CU6" s="3" t="s">
        <v>66</v>
      </c>
      <c r="CV6" s="3" t="s">
        <v>1314</v>
      </c>
    </row>
    <row r="7" spans="1:100" x14ac:dyDescent="0.25">
      <c r="A7" t="s">
        <v>1315</v>
      </c>
      <c r="B7" t="s">
        <v>769</v>
      </c>
      <c r="C7" s="1">
        <v>45772</v>
      </c>
      <c r="D7" t="s">
        <v>1316</v>
      </c>
      <c r="E7">
        <v>10332720</v>
      </c>
      <c r="F7">
        <v>40</v>
      </c>
      <c r="G7">
        <v>20</v>
      </c>
      <c r="H7" t="s">
        <v>849</v>
      </c>
      <c r="I7" t="s">
        <v>849</v>
      </c>
      <c r="J7" t="s">
        <v>1317</v>
      </c>
      <c r="K7" s="1">
        <v>24136</v>
      </c>
      <c r="L7" s="15">
        <f t="shared" si="0"/>
        <v>59</v>
      </c>
      <c r="M7" t="s">
        <v>59</v>
      </c>
      <c r="N7" t="s">
        <v>298</v>
      </c>
      <c r="O7" t="s">
        <v>60</v>
      </c>
      <c r="P7" t="s">
        <v>61</v>
      </c>
      <c r="Q7" t="s">
        <v>61</v>
      </c>
      <c r="R7" t="s">
        <v>62</v>
      </c>
      <c r="S7" t="s">
        <v>63</v>
      </c>
      <c r="T7" t="s">
        <v>66</v>
      </c>
      <c r="U7" t="s">
        <v>61</v>
      </c>
      <c r="V7" t="s">
        <v>1728</v>
      </c>
      <c r="W7" t="s">
        <v>1710</v>
      </c>
      <c r="X7" t="s">
        <v>66</v>
      </c>
      <c r="Y7" t="s">
        <v>66</v>
      </c>
      <c r="Z7" t="s">
        <v>66</v>
      </c>
      <c r="AA7" t="s">
        <v>66</v>
      </c>
      <c r="AB7" t="s">
        <v>63</v>
      </c>
      <c r="AC7" t="s">
        <v>66</v>
      </c>
      <c r="AD7">
        <v>6</v>
      </c>
      <c r="AE7">
        <v>6</v>
      </c>
      <c r="AF7" t="s">
        <v>63</v>
      </c>
      <c r="AG7" t="s">
        <v>66</v>
      </c>
      <c r="AH7" t="s">
        <v>63</v>
      </c>
      <c r="AI7" t="s">
        <v>66</v>
      </c>
      <c r="AJ7" t="s">
        <v>61</v>
      </c>
      <c r="AK7" t="s">
        <v>66</v>
      </c>
      <c r="AL7" t="s">
        <v>61</v>
      </c>
      <c r="AM7" t="s">
        <v>66</v>
      </c>
      <c r="AN7">
        <v>1</v>
      </c>
      <c r="AO7" t="s">
        <v>61</v>
      </c>
      <c r="AP7" t="s">
        <v>1318</v>
      </c>
      <c r="AQ7" t="s">
        <v>1319</v>
      </c>
      <c r="AR7" t="s">
        <v>63</v>
      </c>
      <c r="AS7" t="s">
        <v>63</v>
      </c>
      <c r="AT7" t="s">
        <v>63</v>
      </c>
      <c r="AU7">
        <v>6</v>
      </c>
      <c r="AV7" t="s">
        <v>66</v>
      </c>
      <c r="AW7" t="s">
        <v>66</v>
      </c>
      <c r="AX7" t="s">
        <v>66</v>
      </c>
      <c r="AY7" t="s">
        <v>66</v>
      </c>
      <c r="AZ7" t="s">
        <v>66</v>
      </c>
      <c r="BA7" t="s">
        <v>66</v>
      </c>
      <c r="BB7" t="s">
        <v>1320</v>
      </c>
      <c r="BC7" t="s">
        <v>70</v>
      </c>
      <c r="BD7">
        <v>3</v>
      </c>
      <c r="BE7" t="s">
        <v>1321</v>
      </c>
      <c r="BF7" t="s">
        <v>104</v>
      </c>
      <c r="BG7" t="s">
        <v>71</v>
      </c>
      <c r="BH7" t="s">
        <v>63</v>
      </c>
      <c r="BI7" t="s">
        <v>98</v>
      </c>
      <c r="BJ7" s="3" t="s">
        <v>468</v>
      </c>
      <c r="BK7" t="s">
        <v>948</v>
      </c>
      <c r="BL7" t="s">
        <v>85</v>
      </c>
      <c r="BM7" t="s">
        <v>1232</v>
      </c>
      <c r="BN7" s="3" t="s">
        <v>225</v>
      </c>
      <c r="BO7" t="s">
        <v>281</v>
      </c>
      <c r="BP7" t="s">
        <v>177</v>
      </c>
      <c r="BQ7" t="s">
        <v>78</v>
      </c>
      <c r="BR7" t="s">
        <v>1322</v>
      </c>
      <c r="BS7" t="s">
        <v>107</v>
      </c>
      <c r="BT7">
        <v>4</v>
      </c>
      <c r="BU7" t="s">
        <v>1321</v>
      </c>
      <c r="BV7" t="s">
        <v>104</v>
      </c>
      <c r="BW7" t="s">
        <v>96</v>
      </c>
      <c r="BX7" t="s">
        <v>63</v>
      </c>
      <c r="BY7" t="s">
        <v>658</v>
      </c>
      <c r="BZ7">
        <v>20</v>
      </c>
      <c r="CA7" t="s">
        <v>1323</v>
      </c>
      <c r="CB7">
        <v>5</v>
      </c>
      <c r="CC7" t="s">
        <v>968</v>
      </c>
      <c r="CD7">
        <v>12</v>
      </c>
      <c r="CE7" t="s">
        <v>1324</v>
      </c>
      <c r="CF7" t="s">
        <v>251</v>
      </c>
      <c r="CG7" t="s">
        <v>970</v>
      </c>
      <c r="CH7" s="3" t="s">
        <v>373</v>
      </c>
      <c r="CI7" t="s">
        <v>63</v>
      </c>
      <c r="CJ7" s="3" t="s">
        <v>66</v>
      </c>
      <c r="CK7" s="3" t="s">
        <v>66</v>
      </c>
      <c r="CL7" s="3" t="s">
        <v>66</v>
      </c>
      <c r="CM7" s="3" t="s">
        <v>66</v>
      </c>
      <c r="CN7" s="3" t="s">
        <v>66</v>
      </c>
      <c r="CO7" s="3" t="s">
        <v>66</v>
      </c>
      <c r="CP7" s="3" t="s">
        <v>66</v>
      </c>
      <c r="CQ7" s="3" t="s">
        <v>66</v>
      </c>
      <c r="CR7" s="3" t="s">
        <v>66</v>
      </c>
      <c r="CS7" s="3" t="s">
        <v>66</v>
      </c>
      <c r="CT7" s="3" t="s">
        <v>66</v>
      </c>
      <c r="CU7" s="3" t="s">
        <v>66</v>
      </c>
      <c r="CV7" s="3" t="s">
        <v>1325</v>
      </c>
    </row>
    <row r="8" spans="1:100" x14ac:dyDescent="0.25">
      <c r="A8" t="s">
        <v>1326</v>
      </c>
      <c r="B8" t="s">
        <v>769</v>
      </c>
      <c r="C8" s="1">
        <v>45778</v>
      </c>
      <c r="D8" t="s">
        <v>1327</v>
      </c>
      <c r="E8">
        <v>45594397</v>
      </c>
      <c r="F8">
        <v>30</v>
      </c>
      <c r="G8">
        <v>20</v>
      </c>
      <c r="H8" t="s">
        <v>848</v>
      </c>
      <c r="I8" t="s">
        <v>1328</v>
      </c>
      <c r="J8" t="s">
        <v>1329</v>
      </c>
      <c r="K8" s="1">
        <v>29342</v>
      </c>
      <c r="L8" s="15">
        <f t="shared" si="0"/>
        <v>45</v>
      </c>
      <c r="M8" t="s">
        <v>59</v>
      </c>
      <c r="N8" t="s">
        <v>89</v>
      </c>
      <c r="O8" t="s">
        <v>60</v>
      </c>
      <c r="P8" t="s">
        <v>61</v>
      </c>
      <c r="Q8" t="s">
        <v>61</v>
      </c>
      <c r="R8" t="s">
        <v>129</v>
      </c>
      <c r="S8" t="s">
        <v>63</v>
      </c>
      <c r="T8" t="s">
        <v>66</v>
      </c>
      <c r="U8" t="s">
        <v>63</v>
      </c>
      <c r="V8" t="s">
        <v>66</v>
      </c>
      <c r="W8" t="s">
        <v>66</v>
      </c>
      <c r="X8" t="s">
        <v>66</v>
      </c>
      <c r="Y8" t="s">
        <v>66</v>
      </c>
      <c r="Z8" t="s">
        <v>66</v>
      </c>
      <c r="AA8" t="s">
        <v>66</v>
      </c>
      <c r="AB8" t="s">
        <v>63</v>
      </c>
      <c r="AC8" t="s">
        <v>66</v>
      </c>
      <c r="AD8">
        <v>0</v>
      </c>
      <c r="AE8">
        <v>0</v>
      </c>
      <c r="AF8" t="s">
        <v>63</v>
      </c>
      <c r="AG8" t="s">
        <v>66</v>
      </c>
      <c r="AH8" t="s">
        <v>63</v>
      </c>
      <c r="AI8" t="s">
        <v>66</v>
      </c>
      <c r="AJ8" t="s">
        <v>61</v>
      </c>
      <c r="AK8" t="s">
        <v>66</v>
      </c>
      <c r="AL8" t="s">
        <v>61</v>
      </c>
      <c r="AM8" t="s">
        <v>66</v>
      </c>
      <c r="AN8">
        <v>0</v>
      </c>
      <c r="AO8" t="s">
        <v>63</v>
      </c>
      <c r="AP8" t="s">
        <v>1330</v>
      </c>
      <c r="AQ8" t="s">
        <v>93</v>
      </c>
      <c r="AR8" t="s">
        <v>63</v>
      </c>
      <c r="AS8" t="s">
        <v>63</v>
      </c>
      <c r="AT8" t="s">
        <v>61</v>
      </c>
      <c r="AU8">
        <v>20</v>
      </c>
      <c r="AV8" t="s">
        <v>66</v>
      </c>
      <c r="AW8" t="s">
        <v>66</v>
      </c>
      <c r="AX8" t="s">
        <v>66</v>
      </c>
      <c r="AY8" t="s">
        <v>66</v>
      </c>
      <c r="AZ8" t="s">
        <v>66</v>
      </c>
      <c r="BA8" t="s">
        <v>66</v>
      </c>
      <c r="BB8" t="s">
        <v>571</v>
      </c>
      <c r="BC8" t="s">
        <v>70</v>
      </c>
      <c r="BD8">
        <v>3</v>
      </c>
      <c r="BE8" t="s">
        <v>1251</v>
      </c>
      <c r="BF8" t="s">
        <v>104</v>
      </c>
      <c r="BG8" t="s">
        <v>71</v>
      </c>
      <c r="BH8" t="s">
        <v>63</v>
      </c>
      <c r="BI8" t="s">
        <v>374</v>
      </c>
      <c r="BJ8">
        <v>5</v>
      </c>
      <c r="BK8" t="s">
        <v>1331</v>
      </c>
      <c r="BL8">
        <v>30</v>
      </c>
      <c r="BM8">
        <v>72</v>
      </c>
      <c r="BN8" s="3" t="s">
        <v>77</v>
      </c>
      <c r="BO8" t="s">
        <v>749</v>
      </c>
      <c r="BP8">
        <v>1000</v>
      </c>
      <c r="BQ8" t="s">
        <v>78</v>
      </c>
      <c r="BR8" t="s">
        <v>95</v>
      </c>
      <c r="BS8" t="s">
        <v>107</v>
      </c>
      <c r="BT8">
        <v>6</v>
      </c>
      <c r="BU8" t="s">
        <v>1251</v>
      </c>
      <c r="BV8" t="s">
        <v>104</v>
      </c>
      <c r="BW8" t="s">
        <v>1332</v>
      </c>
      <c r="BX8" t="s">
        <v>63</v>
      </c>
      <c r="BY8" t="s">
        <v>374</v>
      </c>
      <c r="BZ8" s="3" t="s">
        <v>261</v>
      </c>
      <c r="CA8" t="s">
        <v>1333</v>
      </c>
      <c r="CB8" s="3" t="s">
        <v>261</v>
      </c>
      <c r="CC8">
        <v>24</v>
      </c>
      <c r="CD8" s="3" t="s">
        <v>614</v>
      </c>
      <c r="CE8">
        <v>3000</v>
      </c>
      <c r="CF8">
        <v>8000</v>
      </c>
      <c r="CG8" t="s">
        <v>78</v>
      </c>
      <c r="CH8" t="s">
        <v>1334</v>
      </c>
      <c r="CI8" t="s">
        <v>1335</v>
      </c>
      <c r="CJ8" s="3" t="s">
        <v>1256</v>
      </c>
      <c r="CK8" s="3" t="s">
        <v>63</v>
      </c>
      <c r="CL8" s="3" t="s">
        <v>389</v>
      </c>
      <c r="CM8" t="s">
        <v>66</v>
      </c>
      <c r="CN8" t="s">
        <v>1336</v>
      </c>
      <c r="CO8" s="3" t="s">
        <v>227</v>
      </c>
      <c r="CP8" s="3" t="s">
        <v>84</v>
      </c>
      <c r="CQ8" s="3" t="s">
        <v>234</v>
      </c>
      <c r="CR8" s="3" t="s">
        <v>1192</v>
      </c>
      <c r="CS8" s="3" t="s">
        <v>1337</v>
      </c>
      <c r="CT8" t="s">
        <v>1338</v>
      </c>
      <c r="CU8" s="3" t="s">
        <v>234</v>
      </c>
      <c r="CV8" s="3" t="s">
        <v>1703</v>
      </c>
    </row>
    <row r="9" spans="1:100" x14ac:dyDescent="0.25">
      <c r="A9" t="s">
        <v>1339</v>
      </c>
      <c r="B9" t="s">
        <v>769</v>
      </c>
      <c r="C9" s="1">
        <v>45807</v>
      </c>
      <c r="D9" t="s">
        <v>1340</v>
      </c>
      <c r="E9">
        <v>22308700</v>
      </c>
      <c r="F9">
        <v>20</v>
      </c>
      <c r="G9">
        <v>15</v>
      </c>
      <c r="H9" t="s">
        <v>848</v>
      </c>
      <c r="I9" t="s">
        <v>1242</v>
      </c>
      <c r="J9" t="s">
        <v>1242</v>
      </c>
      <c r="K9" s="1">
        <v>26873</v>
      </c>
      <c r="L9" s="15">
        <f t="shared" si="0"/>
        <v>52</v>
      </c>
      <c r="M9" t="s">
        <v>59</v>
      </c>
      <c r="N9" t="s">
        <v>108</v>
      </c>
      <c r="O9" t="s">
        <v>90</v>
      </c>
      <c r="P9" t="s">
        <v>61</v>
      </c>
      <c r="Q9" t="s">
        <v>61</v>
      </c>
      <c r="R9" t="s">
        <v>62</v>
      </c>
      <c r="S9" t="s">
        <v>61</v>
      </c>
      <c r="T9" t="s">
        <v>1266</v>
      </c>
      <c r="U9" t="s">
        <v>61</v>
      </c>
      <c r="V9" t="s">
        <v>1723</v>
      </c>
      <c r="W9" t="s">
        <v>1724</v>
      </c>
      <c r="X9" t="s">
        <v>1745</v>
      </c>
      <c r="Y9" t="s">
        <v>1710</v>
      </c>
      <c r="Z9" t="s">
        <v>66</v>
      </c>
      <c r="AA9" t="s">
        <v>66</v>
      </c>
      <c r="AB9" t="s">
        <v>61</v>
      </c>
      <c r="AC9" t="s">
        <v>1341</v>
      </c>
      <c r="AD9">
        <v>4</v>
      </c>
      <c r="AE9">
        <v>3</v>
      </c>
      <c r="AF9" t="s">
        <v>61</v>
      </c>
      <c r="AG9" t="s">
        <v>132</v>
      </c>
      <c r="AH9" t="s">
        <v>61</v>
      </c>
      <c r="AI9" t="s">
        <v>904</v>
      </c>
      <c r="AJ9" t="s">
        <v>61</v>
      </c>
      <c r="AK9" t="s">
        <v>66</v>
      </c>
      <c r="AL9" t="s">
        <v>61</v>
      </c>
      <c r="AM9" t="s">
        <v>66</v>
      </c>
      <c r="AN9">
        <v>1</v>
      </c>
      <c r="AO9" t="s">
        <v>61</v>
      </c>
      <c r="AP9" t="s">
        <v>1342</v>
      </c>
      <c r="AQ9" t="s">
        <v>1343</v>
      </c>
      <c r="AR9" t="s">
        <v>63</v>
      </c>
      <c r="AS9" t="s">
        <v>61</v>
      </c>
      <c r="AT9" t="s">
        <v>61</v>
      </c>
      <c r="AU9">
        <v>6</v>
      </c>
      <c r="AV9" t="s">
        <v>66</v>
      </c>
      <c r="AW9" t="s">
        <v>66</v>
      </c>
      <c r="AX9" t="s">
        <v>66</v>
      </c>
      <c r="AY9" t="s">
        <v>66</v>
      </c>
      <c r="AZ9" t="s">
        <v>66</v>
      </c>
      <c r="BA9" t="s">
        <v>66</v>
      </c>
      <c r="BB9">
        <v>150</v>
      </c>
      <c r="BC9" t="s">
        <v>70</v>
      </c>
      <c r="BD9">
        <v>3</v>
      </c>
      <c r="BE9" t="s">
        <v>1344</v>
      </c>
      <c r="BF9" t="s">
        <v>104</v>
      </c>
      <c r="BG9" t="s">
        <v>71</v>
      </c>
      <c r="BH9" t="s">
        <v>63</v>
      </c>
      <c r="BI9" t="s">
        <v>554</v>
      </c>
      <c r="BJ9" s="3" t="s">
        <v>225</v>
      </c>
      <c r="BK9" t="s">
        <v>1345</v>
      </c>
      <c r="BL9" t="s">
        <v>85</v>
      </c>
      <c r="BM9" t="s">
        <v>882</v>
      </c>
      <c r="BN9" s="3" t="s">
        <v>263</v>
      </c>
      <c r="BO9" t="s">
        <v>1346</v>
      </c>
      <c r="BP9" t="s">
        <v>1347</v>
      </c>
      <c r="BQ9" t="s">
        <v>78</v>
      </c>
      <c r="BR9" t="s">
        <v>1348</v>
      </c>
      <c r="BS9" t="s">
        <v>63</v>
      </c>
      <c r="BT9" t="s">
        <v>66</v>
      </c>
      <c r="BU9" t="s">
        <v>66</v>
      </c>
      <c r="BV9" t="s">
        <v>66</v>
      </c>
      <c r="BW9" t="s">
        <v>66</v>
      </c>
      <c r="BX9" t="s">
        <v>66</v>
      </c>
      <c r="BY9" t="s">
        <v>66</v>
      </c>
      <c r="BZ9" t="s">
        <v>66</v>
      </c>
      <c r="CA9" t="s">
        <v>66</v>
      </c>
      <c r="CB9" t="s">
        <v>66</v>
      </c>
      <c r="CC9" t="s">
        <v>66</v>
      </c>
      <c r="CD9" t="s">
        <v>66</v>
      </c>
      <c r="CE9" t="s">
        <v>66</v>
      </c>
      <c r="CF9" t="s">
        <v>66</v>
      </c>
      <c r="CG9" t="s">
        <v>66</v>
      </c>
      <c r="CH9" t="s">
        <v>66</v>
      </c>
      <c r="CI9" t="s">
        <v>63</v>
      </c>
      <c r="CJ9" s="3" t="s">
        <v>66</v>
      </c>
      <c r="CK9" s="3" t="s">
        <v>66</v>
      </c>
      <c r="CL9" s="3" t="s">
        <v>66</v>
      </c>
      <c r="CM9" s="3" t="s">
        <v>66</v>
      </c>
      <c r="CN9" s="3" t="s">
        <v>66</v>
      </c>
      <c r="CO9" s="3" t="s">
        <v>66</v>
      </c>
      <c r="CP9" s="3" t="s">
        <v>66</v>
      </c>
      <c r="CQ9" s="3" t="s">
        <v>66</v>
      </c>
      <c r="CR9" s="3" t="s">
        <v>66</v>
      </c>
      <c r="CS9" s="3" t="s">
        <v>66</v>
      </c>
      <c r="CT9" s="3" t="s">
        <v>66</v>
      </c>
      <c r="CU9" s="3" t="s">
        <v>66</v>
      </c>
      <c r="CV9" s="3" t="s">
        <v>1349</v>
      </c>
    </row>
    <row r="10" spans="1:100" x14ac:dyDescent="0.25">
      <c r="A10" t="s">
        <v>1350</v>
      </c>
      <c r="B10" t="s">
        <v>769</v>
      </c>
      <c r="C10" s="1">
        <v>45827</v>
      </c>
      <c r="D10" t="s">
        <v>1351</v>
      </c>
      <c r="E10">
        <v>22283675</v>
      </c>
      <c r="F10">
        <v>50</v>
      </c>
      <c r="G10">
        <v>30</v>
      </c>
      <c r="H10" t="s">
        <v>849</v>
      </c>
      <c r="I10" t="s">
        <v>1352</v>
      </c>
      <c r="J10" t="s">
        <v>1352</v>
      </c>
      <c r="K10" s="1">
        <v>22249</v>
      </c>
      <c r="L10" s="15">
        <f t="shared" si="0"/>
        <v>64</v>
      </c>
      <c r="M10" t="s">
        <v>59</v>
      </c>
      <c r="N10" t="s">
        <v>108</v>
      </c>
      <c r="O10" t="s">
        <v>322</v>
      </c>
      <c r="P10" t="s">
        <v>61</v>
      </c>
      <c r="Q10" t="s">
        <v>63</v>
      </c>
      <c r="R10" t="s">
        <v>62</v>
      </c>
      <c r="S10" t="s">
        <v>61</v>
      </c>
      <c r="T10" t="s">
        <v>1278</v>
      </c>
      <c r="U10" t="s">
        <v>61</v>
      </c>
      <c r="V10" t="s">
        <v>1723</v>
      </c>
      <c r="W10" t="s">
        <v>1746</v>
      </c>
      <c r="X10" t="s">
        <v>66</v>
      </c>
      <c r="Y10" t="s">
        <v>66</v>
      </c>
      <c r="Z10" t="s">
        <v>66</v>
      </c>
      <c r="AA10" t="s">
        <v>66</v>
      </c>
      <c r="AB10" t="s">
        <v>63</v>
      </c>
      <c r="AC10" t="s">
        <v>66</v>
      </c>
      <c r="AD10">
        <v>1</v>
      </c>
      <c r="AE10">
        <v>3</v>
      </c>
      <c r="AF10" t="s">
        <v>61</v>
      </c>
      <c r="AG10" t="s">
        <v>132</v>
      </c>
      <c r="AH10" t="s">
        <v>61</v>
      </c>
      <c r="AI10" t="s">
        <v>904</v>
      </c>
      <c r="AJ10" t="s">
        <v>63</v>
      </c>
      <c r="AK10" t="s">
        <v>1353</v>
      </c>
      <c r="AL10" t="s">
        <v>61</v>
      </c>
      <c r="AM10" t="s">
        <v>66</v>
      </c>
      <c r="AN10">
        <v>1</v>
      </c>
      <c r="AO10" t="s">
        <v>61</v>
      </c>
      <c r="AP10" t="s">
        <v>1354</v>
      </c>
      <c r="AQ10" t="s">
        <v>1355</v>
      </c>
      <c r="AR10" t="s">
        <v>63</v>
      </c>
      <c r="AS10" t="s">
        <v>61</v>
      </c>
      <c r="AT10" t="s">
        <v>61</v>
      </c>
      <c r="AU10">
        <v>6</v>
      </c>
      <c r="AV10" t="s">
        <v>66</v>
      </c>
      <c r="AW10" t="s">
        <v>66</v>
      </c>
      <c r="AX10" t="s">
        <v>66</v>
      </c>
      <c r="AY10" t="s">
        <v>66</v>
      </c>
      <c r="AZ10" t="s">
        <v>66</v>
      </c>
      <c r="BA10" t="s">
        <v>66</v>
      </c>
      <c r="BB10" t="s">
        <v>1356</v>
      </c>
      <c r="BC10" t="s">
        <v>70</v>
      </c>
      <c r="BD10">
        <v>3</v>
      </c>
      <c r="BE10" t="s">
        <v>1357</v>
      </c>
      <c r="BF10" t="s">
        <v>104</v>
      </c>
      <c r="BG10" t="s">
        <v>71</v>
      </c>
      <c r="BH10" t="s">
        <v>63</v>
      </c>
      <c r="BI10" t="s">
        <v>257</v>
      </c>
      <c r="BJ10" s="3" t="s">
        <v>77</v>
      </c>
      <c r="BK10" t="s">
        <v>948</v>
      </c>
      <c r="BL10" t="s">
        <v>1178</v>
      </c>
      <c r="BM10" t="s">
        <v>1232</v>
      </c>
      <c r="BN10" s="3" t="s">
        <v>984</v>
      </c>
      <c r="BO10" t="s">
        <v>1358</v>
      </c>
      <c r="BP10" t="s">
        <v>1112</v>
      </c>
      <c r="BQ10" t="s">
        <v>78</v>
      </c>
      <c r="BR10" t="s">
        <v>1359</v>
      </c>
      <c r="BS10" t="s">
        <v>894</v>
      </c>
      <c r="BT10">
        <v>4</v>
      </c>
      <c r="BU10" t="s">
        <v>1357</v>
      </c>
      <c r="BV10" t="s">
        <v>104</v>
      </c>
      <c r="BW10" t="s">
        <v>163</v>
      </c>
      <c r="BX10" t="s">
        <v>63</v>
      </c>
      <c r="BY10" t="s">
        <v>895</v>
      </c>
      <c r="BZ10" t="s">
        <v>965</v>
      </c>
      <c r="CA10" t="s">
        <v>66</v>
      </c>
      <c r="CB10">
        <v>5</v>
      </c>
      <c r="CC10" t="s">
        <v>66</v>
      </c>
      <c r="CD10" t="s">
        <v>66</v>
      </c>
      <c r="CE10" t="s">
        <v>66</v>
      </c>
      <c r="CF10" t="s">
        <v>1112</v>
      </c>
      <c r="CG10" t="s">
        <v>78</v>
      </c>
      <c r="CH10" t="s">
        <v>1359</v>
      </c>
      <c r="CI10" t="s">
        <v>107</v>
      </c>
      <c r="CJ10" s="3" t="s">
        <v>96</v>
      </c>
      <c r="CK10" s="3" t="s">
        <v>66</v>
      </c>
      <c r="CL10" s="3" t="s">
        <v>895</v>
      </c>
      <c r="CM10" s="3" t="s">
        <v>1114</v>
      </c>
      <c r="CN10" t="s">
        <v>1360</v>
      </c>
      <c r="CO10">
        <v>5</v>
      </c>
      <c r="CP10" t="s">
        <v>968</v>
      </c>
      <c r="CQ10" s="3" t="s">
        <v>1361</v>
      </c>
      <c r="CR10" s="3" t="s">
        <v>1362</v>
      </c>
      <c r="CS10" s="3" t="s">
        <v>173</v>
      </c>
      <c r="CT10" s="3" t="s">
        <v>78</v>
      </c>
      <c r="CU10" s="3" t="s">
        <v>373</v>
      </c>
      <c r="CV10" s="3" t="s">
        <v>1363</v>
      </c>
    </row>
    <row r="11" spans="1:100" x14ac:dyDescent="0.25">
      <c r="A11" t="s">
        <v>1364</v>
      </c>
      <c r="B11" t="s">
        <v>769</v>
      </c>
      <c r="C11" s="1">
        <v>45827</v>
      </c>
      <c r="D11" t="s">
        <v>1365</v>
      </c>
      <c r="E11">
        <v>22299095</v>
      </c>
      <c r="F11">
        <v>30</v>
      </c>
      <c r="G11">
        <v>5</v>
      </c>
      <c r="H11" t="s">
        <v>1241</v>
      </c>
      <c r="I11" t="s">
        <v>1241</v>
      </c>
      <c r="J11" t="s">
        <v>1366</v>
      </c>
      <c r="K11" s="1">
        <v>26490</v>
      </c>
      <c r="L11" s="15">
        <f t="shared" si="0"/>
        <v>53</v>
      </c>
      <c r="M11" t="s">
        <v>59</v>
      </c>
      <c r="N11" t="s">
        <v>108</v>
      </c>
      <c r="O11" t="s">
        <v>322</v>
      </c>
      <c r="P11" t="s">
        <v>61</v>
      </c>
      <c r="Q11" t="s">
        <v>61</v>
      </c>
      <c r="R11" t="s">
        <v>62</v>
      </c>
      <c r="S11" t="s">
        <v>61</v>
      </c>
      <c r="T11" t="s">
        <v>1367</v>
      </c>
      <c r="U11" t="s">
        <v>61</v>
      </c>
      <c r="V11" t="s">
        <v>1745</v>
      </c>
      <c r="W11" t="s">
        <v>1747</v>
      </c>
      <c r="X11" t="s">
        <v>66</v>
      </c>
      <c r="Y11" t="s">
        <v>66</v>
      </c>
      <c r="Z11" t="s">
        <v>66</v>
      </c>
      <c r="AA11" t="s">
        <v>66</v>
      </c>
      <c r="AB11" t="s">
        <v>63</v>
      </c>
      <c r="AC11" t="s">
        <v>66</v>
      </c>
      <c r="AD11">
        <v>2</v>
      </c>
      <c r="AE11">
        <v>4</v>
      </c>
      <c r="AF11" t="s">
        <v>61</v>
      </c>
      <c r="AG11" t="s">
        <v>132</v>
      </c>
      <c r="AH11" t="s">
        <v>63</v>
      </c>
      <c r="AI11" t="s">
        <v>66</v>
      </c>
      <c r="AJ11" t="s">
        <v>63</v>
      </c>
      <c r="AK11" t="s">
        <v>1368</v>
      </c>
      <c r="AL11" t="s">
        <v>93</v>
      </c>
      <c r="AM11" t="s">
        <v>66</v>
      </c>
      <c r="AN11">
        <v>2</v>
      </c>
      <c r="AO11" t="s">
        <v>61</v>
      </c>
      <c r="AP11" t="s">
        <v>1109</v>
      </c>
      <c r="AQ11" t="s">
        <v>1369</v>
      </c>
      <c r="AR11" t="s">
        <v>63</v>
      </c>
      <c r="AS11" t="s">
        <v>61</v>
      </c>
      <c r="AT11" t="s">
        <v>61</v>
      </c>
      <c r="AU11">
        <v>4</v>
      </c>
      <c r="AV11" t="s">
        <v>1370</v>
      </c>
      <c r="AW11" t="s">
        <v>1371</v>
      </c>
      <c r="AX11" t="s">
        <v>63</v>
      </c>
      <c r="AY11" t="s">
        <v>63</v>
      </c>
      <c r="AZ11" t="s">
        <v>63</v>
      </c>
      <c r="BA11">
        <v>3</v>
      </c>
      <c r="BB11">
        <v>255</v>
      </c>
      <c r="BC11" t="s">
        <v>70</v>
      </c>
      <c r="BD11">
        <v>3</v>
      </c>
      <c r="BE11" t="s">
        <v>672</v>
      </c>
      <c r="BF11" t="s">
        <v>104</v>
      </c>
      <c r="BG11" t="s">
        <v>71</v>
      </c>
      <c r="BH11" t="s">
        <v>63</v>
      </c>
      <c r="BI11" t="s">
        <v>257</v>
      </c>
      <c r="BJ11">
        <v>3</v>
      </c>
      <c r="BK11" t="s">
        <v>1372</v>
      </c>
      <c r="BL11" t="s">
        <v>175</v>
      </c>
      <c r="BM11" t="s">
        <v>73</v>
      </c>
      <c r="BN11" s="3" t="s">
        <v>222</v>
      </c>
      <c r="BO11" s="3" t="s">
        <v>1373</v>
      </c>
      <c r="BP11" t="s">
        <v>1374</v>
      </c>
      <c r="BQ11" t="s">
        <v>78</v>
      </c>
      <c r="BR11" t="s">
        <v>342</v>
      </c>
      <c r="BS11" t="s">
        <v>63</v>
      </c>
      <c r="BT11" t="s">
        <v>66</v>
      </c>
      <c r="BU11" t="s">
        <v>66</v>
      </c>
      <c r="BV11" t="s">
        <v>66</v>
      </c>
      <c r="BW11" t="s">
        <v>66</v>
      </c>
      <c r="BX11" t="s">
        <v>66</v>
      </c>
      <c r="BY11" t="s">
        <v>66</v>
      </c>
      <c r="BZ11" t="s">
        <v>66</v>
      </c>
      <c r="CA11" t="s">
        <v>66</v>
      </c>
      <c r="CB11" t="s">
        <v>66</v>
      </c>
      <c r="CC11" t="s">
        <v>66</v>
      </c>
      <c r="CD11" t="s">
        <v>66</v>
      </c>
      <c r="CE11" t="s">
        <v>66</v>
      </c>
      <c r="CF11" t="s">
        <v>66</v>
      </c>
      <c r="CG11" t="s">
        <v>66</v>
      </c>
      <c r="CH11" t="s">
        <v>66</v>
      </c>
      <c r="CI11" t="s">
        <v>66</v>
      </c>
      <c r="CJ11" t="s">
        <v>66</v>
      </c>
      <c r="CK11" t="s">
        <v>66</v>
      </c>
      <c r="CL11" t="s">
        <v>66</v>
      </c>
      <c r="CM11" t="s">
        <v>66</v>
      </c>
      <c r="CN11" t="s">
        <v>66</v>
      </c>
      <c r="CO11" t="s">
        <v>66</v>
      </c>
      <c r="CP11" t="s">
        <v>66</v>
      </c>
      <c r="CQ11" t="s">
        <v>66</v>
      </c>
      <c r="CR11" t="s">
        <v>66</v>
      </c>
      <c r="CS11" t="s">
        <v>66</v>
      </c>
      <c r="CT11" t="s">
        <v>66</v>
      </c>
      <c r="CU11" t="s">
        <v>66</v>
      </c>
      <c r="CV11" s="3" t="s">
        <v>1375</v>
      </c>
    </row>
    <row r="12" spans="1:100" x14ac:dyDescent="0.25">
      <c r="A12" t="s">
        <v>1376</v>
      </c>
      <c r="B12" t="s">
        <v>1377</v>
      </c>
      <c r="C12" s="1">
        <v>45807</v>
      </c>
      <c r="D12" s="22" t="s">
        <v>1688</v>
      </c>
      <c r="E12">
        <v>41349147</v>
      </c>
      <c r="F12">
        <v>33</v>
      </c>
      <c r="G12">
        <v>20</v>
      </c>
      <c r="H12" t="s">
        <v>849</v>
      </c>
      <c r="I12" t="s">
        <v>1378</v>
      </c>
      <c r="K12" s="1">
        <v>29400</v>
      </c>
      <c r="L12" s="15">
        <f t="shared" si="0"/>
        <v>45</v>
      </c>
      <c r="M12" t="s">
        <v>59</v>
      </c>
      <c r="N12" t="s">
        <v>108</v>
      </c>
      <c r="O12" t="s">
        <v>60</v>
      </c>
      <c r="P12" t="s">
        <v>61</v>
      </c>
      <c r="Q12" t="s">
        <v>61</v>
      </c>
      <c r="R12" t="s">
        <v>285</v>
      </c>
      <c r="S12" t="s">
        <v>61</v>
      </c>
      <c r="T12" t="s">
        <v>1379</v>
      </c>
      <c r="U12" t="s">
        <v>61</v>
      </c>
      <c r="V12" t="s">
        <v>1723</v>
      </c>
      <c r="W12" t="s">
        <v>1724</v>
      </c>
      <c r="X12" t="s">
        <v>66</v>
      </c>
      <c r="Y12" t="s">
        <v>66</v>
      </c>
      <c r="Z12" t="s">
        <v>66</v>
      </c>
      <c r="AA12" t="s">
        <v>66</v>
      </c>
      <c r="AB12" t="s">
        <v>61</v>
      </c>
      <c r="AC12" t="s">
        <v>1380</v>
      </c>
      <c r="AD12">
        <v>4</v>
      </c>
      <c r="AE12">
        <v>2</v>
      </c>
      <c r="AF12" t="s">
        <v>61</v>
      </c>
      <c r="AG12" t="s">
        <v>132</v>
      </c>
      <c r="AH12" t="s">
        <v>63</v>
      </c>
      <c r="AI12" t="s">
        <v>66</v>
      </c>
      <c r="AJ12" t="s">
        <v>61</v>
      </c>
      <c r="AK12" t="s">
        <v>66</v>
      </c>
      <c r="AL12" t="s">
        <v>61</v>
      </c>
      <c r="AM12" t="s">
        <v>66</v>
      </c>
      <c r="AN12">
        <v>1</v>
      </c>
      <c r="AO12" t="s">
        <v>61</v>
      </c>
      <c r="AP12" t="s">
        <v>1381</v>
      </c>
      <c r="AQ12" t="s">
        <v>1382</v>
      </c>
      <c r="AR12" t="s">
        <v>63</v>
      </c>
      <c r="AS12" t="s">
        <v>61</v>
      </c>
      <c r="AT12" t="s">
        <v>61</v>
      </c>
      <c r="AU12">
        <v>5</v>
      </c>
      <c r="AV12" t="s">
        <v>66</v>
      </c>
      <c r="AW12" t="s">
        <v>66</v>
      </c>
      <c r="AX12" t="s">
        <v>66</v>
      </c>
      <c r="AY12" t="s">
        <v>66</v>
      </c>
      <c r="AZ12" t="s">
        <v>66</v>
      </c>
      <c r="BA12" t="s">
        <v>66</v>
      </c>
      <c r="BB12">
        <v>270</v>
      </c>
      <c r="BC12" t="s">
        <v>70</v>
      </c>
      <c r="BD12">
        <v>3</v>
      </c>
      <c r="BE12" t="s">
        <v>1383</v>
      </c>
      <c r="BF12" t="s">
        <v>104</v>
      </c>
      <c r="BG12" t="s">
        <v>71</v>
      </c>
      <c r="BH12" t="s">
        <v>63</v>
      </c>
      <c r="BI12" t="s">
        <v>174</v>
      </c>
      <c r="BJ12" s="3" t="s">
        <v>225</v>
      </c>
      <c r="BK12" t="s">
        <v>1384</v>
      </c>
      <c r="BL12" t="s">
        <v>611</v>
      </c>
      <c r="BM12" t="s">
        <v>73</v>
      </c>
      <c r="BN12" s="3" t="s">
        <v>467</v>
      </c>
      <c r="BO12" t="s">
        <v>1385</v>
      </c>
      <c r="BP12" t="s">
        <v>1386</v>
      </c>
      <c r="BQ12" t="s">
        <v>78</v>
      </c>
      <c r="BR12" t="s">
        <v>1387</v>
      </c>
      <c r="BS12" t="s">
        <v>341</v>
      </c>
      <c r="BT12">
        <v>4</v>
      </c>
      <c r="BU12" t="s">
        <v>1383</v>
      </c>
      <c r="BV12" t="s">
        <v>104</v>
      </c>
      <c r="BW12" t="s">
        <v>96</v>
      </c>
      <c r="BX12" t="s">
        <v>63</v>
      </c>
      <c r="BY12" t="s">
        <v>254</v>
      </c>
      <c r="BZ12" t="s">
        <v>928</v>
      </c>
      <c r="CA12" t="s">
        <v>1388</v>
      </c>
      <c r="CB12" s="3" t="s">
        <v>142</v>
      </c>
      <c r="CC12" s="23" t="s">
        <v>968</v>
      </c>
      <c r="CD12" s="3" t="s">
        <v>142</v>
      </c>
      <c r="CE12" s="3" t="s">
        <v>490</v>
      </c>
      <c r="CF12" s="3" t="s">
        <v>1286</v>
      </c>
      <c r="CG12" s="3" t="s">
        <v>78</v>
      </c>
      <c r="CH12" s="3" t="s">
        <v>373</v>
      </c>
      <c r="CI12" s="3" t="s">
        <v>63</v>
      </c>
      <c r="CJ12" s="3" t="s">
        <v>66</v>
      </c>
      <c r="CK12" s="3" t="s">
        <v>66</v>
      </c>
      <c r="CL12" s="3" t="s">
        <v>66</v>
      </c>
      <c r="CM12" s="3" t="s">
        <v>66</v>
      </c>
      <c r="CN12" s="3" t="s">
        <v>66</v>
      </c>
      <c r="CO12" s="3" t="s">
        <v>66</v>
      </c>
      <c r="CP12" s="3" t="s">
        <v>66</v>
      </c>
      <c r="CQ12" s="3" t="s">
        <v>66</v>
      </c>
      <c r="CR12" s="3" t="s">
        <v>66</v>
      </c>
      <c r="CS12" s="3" t="s">
        <v>66</v>
      </c>
      <c r="CT12" s="3" t="s">
        <v>66</v>
      </c>
      <c r="CU12" s="3" t="s">
        <v>66</v>
      </c>
      <c r="CV12" s="25" t="s">
        <v>1689</v>
      </c>
    </row>
    <row r="13" spans="1:100" x14ac:dyDescent="0.25">
      <c r="A13" t="s">
        <v>1389</v>
      </c>
      <c r="B13" t="s">
        <v>1377</v>
      </c>
      <c r="C13" s="1">
        <v>45807</v>
      </c>
      <c r="D13" t="s">
        <v>1390</v>
      </c>
      <c r="E13">
        <v>22263898</v>
      </c>
      <c r="F13">
        <v>20</v>
      </c>
      <c r="G13">
        <v>10</v>
      </c>
      <c r="H13" t="s">
        <v>848</v>
      </c>
      <c r="I13" t="s">
        <v>1241</v>
      </c>
      <c r="J13" t="s">
        <v>1241</v>
      </c>
      <c r="K13" s="1">
        <v>22521</v>
      </c>
      <c r="L13" s="15">
        <f t="shared" si="0"/>
        <v>64</v>
      </c>
      <c r="M13" t="s">
        <v>59</v>
      </c>
      <c r="N13" t="s">
        <v>108</v>
      </c>
      <c r="O13" t="s">
        <v>60</v>
      </c>
      <c r="P13" t="s">
        <v>61</v>
      </c>
      <c r="Q13" t="s">
        <v>63</v>
      </c>
      <c r="R13" t="s">
        <v>129</v>
      </c>
      <c r="S13" t="s">
        <v>61</v>
      </c>
      <c r="T13" t="s">
        <v>1266</v>
      </c>
      <c r="U13" t="s">
        <v>61</v>
      </c>
      <c r="V13" t="s">
        <v>1723</v>
      </c>
      <c r="W13" t="s">
        <v>1724</v>
      </c>
      <c r="X13" t="s">
        <v>66</v>
      </c>
      <c r="Y13" t="s">
        <v>66</v>
      </c>
      <c r="Z13" t="s">
        <v>66</v>
      </c>
      <c r="AA13" t="s">
        <v>66</v>
      </c>
      <c r="AB13" t="s">
        <v>63</v>
      </c>
      <c r="AC13" t="s">
        <v>66</v>
      </c>
      <c r="AD13">
        <v>4</v>
      </c>
      <c r="AE13">
        <v>4</v>
      </c>
      <c r="AF13" t="s">
        <v>61</v>
      </c>
      <c r="AG13" t="s">
        <v>132</v>
      </c>
      <c r="AH13" t="s">
        <v>61</v>
      </c>
      <c r="AI13" t="s">
        <v>904</v>
      </c>
      <c r="AJ13" t="s">
        <v>61</v>
      </c>
      <c r="AK13" t="s">
        <v>66</v>
      </c>
      <c r="AL13" t="s">
        <v>61</v>
      </c>
      <c r="AM13" t="s">
        <v>66</v>
      </c>
      <c r="AN13">
        <v>1</v>
      </c>
      <c r="AO13" t="s">
        <v>61</v>
      </c>
      <c r="AP13" t="s">
        <v>1391</v>
      </c>
      <c r="AQ13" t="s">
        <v>1392</v>
      </c>
      <c r="AR13" t="s">
        <v>63</v>
      </c>
      <c r="AS13" t="s">
        <v>63</v>
      </c>
      <c r="AT13" t="s">
        <v>61</v>
      </c>
      <c r="AU13">
        <v>3</v>
      </c>
      <c r="AV13" t="s">
        <v>66</v>
      </c>
      <c r="AW13" t="s">
        <v>66</v>
      </c>
      <c r="AX13" t="s">
        <v>66</v>
      </c>
      <c r="AY13" t="s">
        <v>66</v>
      </c>
      <c r="AZ13" t="s">
        <v>66</v>
      </c>
      <c r="BA13" t="s">
        <v>66</v>
      </c>
      <c r="BB13">
        <v>170</v>
      </c>
      <c r="BC13" t="s">
        <v>70</v>
      </c>
      <c r="BD13">
        <v>4</v>
      </c>
      <c r="BE13" t="s">
        <v>1000</v>
      </c>
      <c r="BF13" t="s">
        <v>104</v>
      </c>
      <c r="BG13" t="s">
        <v>71</v>
      </c>
      <c r="BH13" t="s">
        <v>63</v>
      </c>
      <c r="BI13" t="s">
        <v>554</v>
      </c>
      <c r="BJ13">
        <v>8</v>
      </c>
      <c r="BK13" t="s">
        <v>1063</v>
      </c>
      <c r="BL13">
        <v>15</v>
      </c>
      <c r="BM13" t="s">
        <v>1393</v>
      </c>
      <c r="BN13">
        <v>3</v>
      </c>
      <c r="BO13">
        <v>600</v>
      </c>
      <c r="BP13">
        <v>1500</v>
      </c>
      <c r="BQ13" s="5" t="s">
        <v>78</v>
      </c>
      <c r="BR13" t="s">
        <v>1394</v>
      </c>
      <c r="BS13" t="s">
        <v>63</v>
      </c>
      <c r="BT13" t="s">
        <v>66</v>
      </c>
      <c r="BU13" t="s">
        <v>66</v>
      </c>
      <c r="BV13" t="s">
        <v>66</v>
      </c>
      <c r="BW13" t="s">
        <v>66</v>
      </c>
      <c r="BX13" t="s">
        <v>66</v>
      </c>
      <c r="BY13" t="s">
        <v>66</v>
      </c>
      <c r="BZ13" t="s">
        <v>66</v>
      </c>
      <c r="CA13" t="s">
        <v>66</v>
      </c>
      <c r="CB13" t="s">
        <v>66</v>
      </c>
      <c r="CC13" t="s">
        <v>66</v>
      </c>
      <c r="CD13" t="s">
        <v>66</v>
      </c>
      <c r="CE13" t="s">
        <v>66</v>
      </c>
      <c r="CF13" t="s">
        <v>66</v>
      </c>
      <c r="CG13" t="s">
        <v>66</v>
      </c>
      <c r="CH13" t="s">
        <v>66</v>
      </c>
      <c r="CI13" t="s">
        <v>63</v>
      </c>
      <c r="CJ13" s="3" t="s">
        <v>66</v>
      </c>
      <c r="CK13" s="3" t="s">
        <v>66</v>
      </c>
      <c r="CL13" s="3" t="s">
        <v>66</v>
      </c>
      <c r="CM13" s="3" t="s">
        <v>66</v>
      </c>
      <c r="CN13" s="3" t="s">
        <v>66</v>
      </c>
      <c r="CO13" s="3" t="s">
        <v>66</v>
      </c>
      <c r="CP13" s="3" t="s">
        <v>66</v>
      </c>
      <c r="CQ13" s="3" t="s">
        <v>66</v>
      </c>
      <c r="CR13" s="3" t="s">
        <v>66</v>
      </c>
      <c r="CS13" s="3" t="s">
        <v>66</v>
      </c>
      <c r="CT13" s="3" t="s">
        <v>66</v>
      </c>
      <c r="CU13" s="3" t="s">
        <v>66</v>
      </c>
      <c r="CV13" t="s">
        <v>1395</v>
      </c>
    </row>
    <row r="14" spans="1:100" x14ac:dyDescent="0.25">
      <c r="A14" t="s">
        <v>1396</v>
      </c>
      <c r="B14" t="s">
        <v>1397</v>
      </c>
      <c r="C14" s="1">
        <v>45807</v>
      </c>
      <c r="D14" t="s">
        <v>1398</v>
      </c>
      <c r="E14">
        <v>22242605</v>
      </c>
      <c r="F14">
        <v>43</v>
      </c>
      <c r="G14">
        <v>13</v>
      </c>
      <c r="H14" t="s">
        <v>849</v>
      </c>
      <c r="I14" t="s">
        <v>1328</v>
      </c>
      <c r="J14" t="s">
        <v>1399</v>
      </c>
      <c r="K14" s="1">
        <v>24208</v>
      </c>
      <c r="L14" s="15">
        <f t="shared" si="0"/>
        <v>59</v>
      </c>
      <c r="M14" t="s">
        <v>59</v>
      </c>
      <c r="N14" t="s">
        <v>108</v>
      </c>
      <c r="O14" t="s">
        <v>60</v>
      </c>
      <c r="P14" t="s">
        <v>61</v>
      </c>
      <c r="Q14" t="s">
        <v>61</v>
      </c>
      <c r="R14" t="s">
        <v>62</v>
      </c>
      <c r="S14" t="s">
        <v>61</v>
      </c>
      <c r="T14" t="s">
        <v>1266</v>
      </c>
      <c r="U14" t="s">
        <v>61</v>
      </c>
      <c r="V14" t="s">
        <v>1723</v>
      </c>
      <c r="W14" t="s">
        <v>1724</v>
      </c>
      <c r="X14" t="s">
        <v>66</v>
      </c>
      <c r="Y14" t="s">
        <v>66</v>
      </c>
      <c r="Z14" t="s">
        <v>66</v>
      </c>
      <c r="AA14" t="s">
        <v>66</v>
      </c>
      <c r="AB14" t="s">
        <v>63</v>
      </c>
      <c r="AC14" t="s">
        <v>66</v>
      </c>
      <c r="AD14">
        <v>3</v>
      </c>
      <c r="AE14">
        <v>2</v>
      </c>
      <c r="AF14" t="s">
        <v>61</v>
      </c>
      <c r="AG14" t="s">
        <v>1400</v>
      </c>
      <c r="AH14" t="s">
        <v>61</v>
      </c>
      <c r="AI14" t="s">
        <v>1401</v>
      </c>
      <c r="AJ14" t="s">
        <v>61</v>
      </c>
      <c r="AK14" t="s">
        <v>66</v>
      </c>
      <c r="AL14" t="s">
        <v>61</v>
      </c>
      <c r="AM14" t="s">
        <v>66</v>
      </c>
      <c r="AN14">
        <v>1</v>
      </c>
      <c r="AO14" t="s">
        <v>61</v>
      </c>
      <c r="AP14" t="s">
        <v>1402</v>
      </c>
      <c r="AQ14" t="s">
        <v>1403</v>
      </c>
      <c r="AR14" t="s">
        <v>63</v>
      </c>
      <c r="AS14" t="s">
        <v>61</v>
      </c>
      <c r="AT14" t="s">
        <v>61</v>
      </c>
      <c r="AU14">
        <v>5</v>
      </c>
      <c r="AV14" t="s">
        <v>66</v>
      </c>
      <c r="AW14" t="s">
        <v>66</v>
      </c>
      <c r="AX14" t="s">
        <v>66</v>
      </c>
      <c r="AY14" t="s">
        <v>66</v>
      </c>
      <c r="AZ14" t="s">
        <v>66</v>
      </c>
      <c r="BA14" t="s">
        <v>66</v>
      </c>
      <c r="BB14" t="s">
        <v>1404</v>
      </c>
      <c r="BC14" t="s">
        <v>70</v>
      </c>
      <c r="BD14">
        <v>4</v>
      </c>
      <c r="BE14" t="s">
        <v>105</v>
      </c>
      <c r="BF14" t="s">
        <v>104</v>
      </c>
      <c r="BG14" t="s">
        <v>71</v>
      </c>
      <c r="BH14" t="s">
        <v>63</v>
      </c>
      <c r="BI14" t="s">
        <v>174</v>
      </c>
      <c r="BJ14">
        <v>4</v>
      </c>
      <c r="BK14" t="s">
        <v>948</v>
      </c>
      <c r="BL14" t="s">
        <v>83</v>
      </c>
      <c r="BM14" t="s">
        <v>143</v>
      </c>
      <c r="BN14" s="3" t="s">
        <v>77</v>
      </c>
      <c r="BO14" t="s">
        <v>1012</v>
      </c>
      <c r="BP14" t="s">
        <v>1405</v>
      </c>
      <c r="BQ14" t="s">
        <v>78</v>
      </c>
      <c r="BR14" t="s">
        <v>1406</v>
      </c>
      <c r="BS14" t="s">
        <v>63</v>
      </c>
      <c r="BT14" t="s">
        <v>66</v>
      </c>
      <c r="BU14" t="s">
        <v>66</v>
      </c>
      <c r="BV14" t="s">
        <v>66</v>
      </c>
      <c r="BW14" t="s">
        <v>66</v>
      </c>
      <c r="BX14" t="s">
        <v>66</v>
      </c>
      <c r="BY14" t="s">
        <v>66</v>
      </c>
      <c r="BZ14" t="s">
        <v>66</v>
      </c>
      <c r="CA14" t="s">
        <v>66</v>
      </c>
      <c r="CB14" t="s">
        <v>66</v>
      </c>
      <c r="CC14" t="s">
        <v>66</v>
      </c>
      <c r="CD14" t="s">
        <v>66</v>
      </c>
      <c r="CE14" t="s">
        <v>66</v>
      </c>
      <c r="CF14" t="s">
        <v>66</v>
      </c>
      <c r="CG14" t="s">
        <v>66</v>
      </c>
      <c r="CH14" t="s">
        <v>66</v>
      </c>
      <c r="CI14" t="s">
        <v>63</v>
      </c>
      <c r="CJ14" s="3" t="s">
        <v>66</v>
      </c>
      <c r="CK14" s="3" t="s">
        <v>66</v>
      </c>
      <c r="CL14" s="3" t="s">
        <v>66</v>
      </c>
      <c r="CM14" s="3" t="s">
        <v>66</v>
      </c>
      <c r="CN14" s="3" t="s">
        <v>66</v>
      </c>
      <c r="CO14" s="3" t="s">
        <v>66</v>
      </c>
      <c r="CP14" s="3" t="s">
        <v>66</v>
      </c>
      <c r="CQ14" s="3" t="s">
        <v>66</v>
      </c>
      <c r="CR14" s="3" t="s">
        <v>66</v>
      </c>
      <c r="CS14" s="3" t="s">
        <v>66</v>
      </c>
      <c r="CT14" s="3" t="s">
        <v>66</v>
      </c>
      <c r="CU14" s="3" t="s">
        <v>66</v>
      </c>
      <c r="CV14" s="3" t="s">
        <v>1407</v>
      </c>
    </row>
    <row r="15" spans="1:100" x14ac:dyDescent="0.25">
      <c r="A15" t="s">
        <v>1408</v>
      </c>
      <c r="B15" t="s">
        <v>1409</v>
      </c>
      <c r="C15" s="1">
        <v>45772</v>
      </c>
      <c r="D15" t="s">
        <v>1410</v>
      </c>
      <c r="E15">
        <v>22285186</v>
      </c>
      <c r="F15">
        <v>40</v>
      </c>
      <c r="G15">
        <v>15</v>
      </c>
      <c r="H15" t="s">
        <v>849</v>
      </c>
      <c r="I15" t="s">
        <v>849</v>
      </c>
      <c r="J15" t="s">
        <v>1411</v>
      </c>
      <c r="K15" s="1">
        <v>20540</v>
      </c>
      <c r="L15" s="15">
        <f t="shared" si="0"/>
        <v>69</v>
      </c>
      <c r="M15" t="s">
        <v>59</v>
      </c>
      <c r="N15" t="s">
        <v>108</v>
      </c>
      <c r="O15" t="s">
        <v>337</v>
      </c>
      <c r="P15" t="s">
        <v>61</v>
      </c>
      <c r="Q15" t="s">
        <v>61</v>
      </c>
      <c r="R15" t="s">
        <v>285</v>
      </c>
      <c r="S15" t="s">
        <v>61</v>
      </c>
      <c r="T15" t="s">
        <v>1246</v>
      </c>
      <c r="U15" t="s">
        <v>61</v>
      </c>
      <c r="V15" t="s">
        <v>1748</v>
      </c>
      <c r="W15" t="s">
        <v>1749</v>
      </c>
      <c r="X15" t="s">
        <v>1759</v>
      </c>
      <c r="Y15" t="s">
        <v>66</v>
      </c>
      <c r="Z15" t="s">
        <v>66</v>
      </c>
      <c r="AA15" t="s">
        <v>66</v>
      </c>
      <c r="AB15" t="s">
        <v>63</v>
      </c>
      <c r="AC15" t="s">
        <v>66</v>
      </c>
      <c r="AD15">
        <v>2</v>
      </c>
      <c r="AE15">
        <v>0</v>
      </c>
      <c r="AF15" t="s">
        <v>61</v>
      </c>
      <c r="AG15" t="s">
        <v>132</v>
      </c>
      <c r="AH15" t="s">
        <v>63</v>
      </c>
      <c r="AI15" t="s">
        <v>66</v>
      </c>
      <c r="AJ15" t="s">
        <v>61</v>
      </c>
      <c r="AK15" t="s">
        <v>66</v>
      </c>
      <c r="AL15" t="s">
        <v>61</v>
      </c>
      <c r="AM15" t="s">
        <v>66</v>
      </c>
      <c r="AN15">
        <v>1</v>
      </c>
      <c r="AO15" t="s">
        <v>61</v>
      </c>
      <c r="AP15" t="s">
        <v>1412</v>
      </c>
      <c r="AQ15" t="s">
        <v>1413</v>
      </c>
      <c r="AR15" t="s">
        <v>63</v>
      </c>
      <c r="AS15" t="s">
        <v>63</v>
      </c>
      <c r="AT15" t="s">
        <v>61</v>
      </c>
      <c r="AU15">
        <v>10</v>
      </c>
      <c r="AV15" t="s">
        <v>66</v>
      </c>
      <c r="AW15" t="s">
        <v>66</v>
      </c>
      <c r="AX15" t="s">
        <v>66</v>
      </c>
      <c r="AY15" t="s">
        <v>66</v>
      </c>
      <c r="AZ15" t="s">
        <v>66</v>
      </c>
      <c r="BA15" t="s">
        <v>66</v>
      </c>
      <c r="BB15">
        <v>200</v>
      </c>
      <c r="BC15" t="s">
        <v>70</v>
      </c>
      <c r="BD15">
        <v>4</v>
      </c>
      <c r="BE15" t="s">
        <v>553</v>
      </c>
      <c r="BF15" t="s">
        <v>104</v>
      </c>
      <c r="BG15" t="s">
        <v>71</v>
      </c>
      <c r="BH15" t="s">
        <v>63</v>
      </c>
      <c r="BI15" t="s">
        <v>101</v>
      </c>
      <c r="BJ15">
        <v>6</v>
      </c>
      <c r="BK15" t="s">
        <v>1414</v>
      </c>
      <c r="BL15" t="s">
        <v>1415</v>
      </c>
      <c r="BM15" t="s">
        <v>272</v>
      </c>
      <c r="BN15">
        <v>3</v>
      </c>
      <c r="BO15" t="s">
        <v>145</v>
      </c>
      <c r="BP15" t="s">
        <v>177</v>
      </c>
      <c r="BQ15" t="s">
        <v>1338</v>
      </c>
      <c r="BR15" t="s">
        <v>484</v>
      </c>
      <c r="BS15" t="s">
        <v>894</v>
      </c>
      <c r="BT15">
        <v>4</v>
      </c>
      <c r="BU15" t="s">
        <v>553</v>
      </c>
      <c r="BV15" t="s">
        <v>104</v>
      </c>
      <c r="BW15" t="s">
        <v>163</v>
      </c>
      <c r="BX15" t="s">
        <v>63</v>
      </c>
      <c r="BY15" t="s">
        <v>101</v>
      </c>
      <c r="BZ15">
        <v>6</v>
      </c>
      <c r="CA15" t="s">
        <v>66</v>
      </c>
      <c r="CB15">
        <v>5</v>
      </c>
      <c r="CC15" t="s">
        <v>66</v>
      </c>
      <c r="CD15" t="s">
        <v>66</v>
      </c>
      <c r="CE15" t="s">
        <v>66</v>
      </c>
      <c r="CF15" t="s">
        <v>256</v>
      </c>
      <c r="CG15" t="s">
        <v>970</v>
      </c>
      <c r="CH15">
        <v>6</v>
      </c>
      <c r="CI15" t="s">
        <v>950</v>
      </c>
      <c r="CJ15" s="3" t="s">
        <v>79</v>
      </c>
      <c r="CK15" s="3" t="s">
        <v>1416</v>
      </c>
      <c r="CL15" s="3" t="s">
        <v>347</v>
      </c>
      <c r="CM15">
        <v>8</v>
      </c>
      <c r="CN15" t="s">
        <v>1417</v>
      </c>
      <c r="CO15">
        <v>5</v>
      </c>
      <c r="CP15" s="3" t="s">
        <v>467</v>
      </c>
      <c r="CQ15" s="3" t="s">
        <v>467</v>
      </c>
      <c r="CR15">
        <v>1000</v>
      </c>
      <c r="CS15">
        <v>2000</v>
      </c>
      <c r="CT15" s="3" t="s">
        <v>970</v>
      </c>
      <c r="CU15" s="3" t="s">
        <v>93</v>
      </c>
      <c r="CV15" s="3" t="s">
        <v>1418</v>
      </c>
    </row>
    <row r="16" spans="1:100" x14ac:dyDescent="0.25">
      <c r="A16" t="s">
        <v>1419</v>
      </c>
      <c r="B16" t="s">
        <v>769</v>
      </c>
      <c r="C16" s="1">
        <v>45805</v>
      </c>
      <c r="D16" t="s">
        <v>1420</v>
      </c>
      <c r="E16">
        <v>22300490</v>
      </c>
      <c r="F16">
        <v>34</v>
      </c>
      <c r="G16">
        <v>25</v>
      </c>
      <c r="H16" t="s">
        <v>848</v>
      </c>
      <c r="I16" t="s">
        <v>1328</v>
      </c>
      <c r="J16" t="s">
        <v>1421</v>
      </c>
      <c r="K16" s="1">
        <v>27166</v>
      </c>
      <c r="L16" s="15">
        <f t="shared" si="0"/>
        <v>51</v>
      </c>
      <c r="M16" t="s">
        <v>59</v>
      </c>
      <c r="N16" t="s">
        <v>89</v>
      </c>
      <c r="O16" t="s">
        <v>60</v>
      </c>
      <c r="P16" t="s">
        <v>61</v>
      </c>
      <c r="Q16" t="s">
        <v>61</v>
      </c>
      <c r="R16" t="s">
        <v>426</v>
      </c>
      <c r="S16" t="s">
        <v>61</v>
      </c>
      <c r="T16" s="19" t="s">
        <v>1278</v>
      </c>
      <c r="U16" t="s">
        <v>61</v>
      </c>
      <c r="V16" t="s">
        <v>1723</v>
      </c>
      <c r="W16" t="s">
        <v>1724</v>
      </c>
      <c r="X16" t="s">
        <v>66</v>
      </c>
      <c r="Y16" t="s">
        <v>66</v>
      </c>
      <c r="Z16" t="s">
        <v>66</v>
      </c>
      <c r="AA16" t="s">
        <v>66</v>
      </c>
      <c r="AB16" t="s">
        <v>63</v>
      </c>
      <c r="AC16" t="s">
        <v>66</v>
      </c>
      <c r="AD16">
        <v>0</v>
      </c>
      <c r="AE16">
        <v>3</v>
      </c>
      <c r="AF16" t="s">
        <v>63</v>
      </c>
      <c r="AG16" t="s">
        <v>66</v>
      </c>
      <c r="AH16" t="s">
        <v>63</v>
      </c>
      <c r="AI16" t="s">
        <v>66</v>
      </c>
      <c r="AJ16" t="s">
        <v>61</v>
      </c>
      <c r="AK16" t="s">
        <v>66</v>
      </c>
      <c r="AL16" t="s">
        <v>93</v>
      </c>
      <c r="AM16" t="s">
        <v>66</v>
      </c>
      <c r="AN16">
        <v>0</v>
      </c>
      <c r="AO16" t="s">
        <v>66</v>
      </c>
      <c r="AP16" t="s">
        <v>1130</v>
      </c>
      <c r="AQ16" t="s">
        <v>1422</v>
      </c>
      <c r="AR16" t="s">
        <v>63</v>
      </c>
      <c r="AS16" t="s">
        <v>63</v>
      </c>
      <c r="AT16" t="s">
        <v>61</v>
      </c>
      <c r="AU16">
        <v>2.5</v>
      </c>
      <c r="AV16" t="s">
        <v>66</v>
      </c>
      <c r="AW16" t="s">
        <v>66</v>
      </c>
      <c r="AX16" t="s">
        <v>66</v>
      </c>
      <c r="AY16" t="s">
        <v>66</v>
      </c>
      <c r="AZ16" t="s">
        <v>66</v>
      </c>
      <c r="BA16" t="s">
        <v>66</v>
      </c>
      <c r="BB16" t="s">
        <v>1423</v>
      </c>
      <c r="BC16" t="s">
        <v>70</v>
      </c>
      <c r="BD16">
        <v>4</v>
      </c>
      <c r="BE16" t="s">
        <v>1424</v>
      </c>
      <c r="BF16" t="s">
        <v>881</v>
      </c>
      <c r="BG16" t="s">
        <v>71</v>
      </c>
      <c r="BH16" t="s">
        <v>63</v>
      </c>
      <c r="BI16" t="s">
        <v>554</v>
      </c>
      <c r="BJ16">
        <v>5</v>
      </c>
      <c r="BK16" t="s">
        <v>1425</v>
      </c>
      <c r="BL16" t="s">
        <v>234</v>
      </c>
      <c r="BM16">
        <v>72</v>
      </c>
      <c r="BN16" s="3" t="s">
        <v>420</v>
      </c>
      <c r="BO16" t="s">
        <v>749</v>
      </c>
      <c r="BP16" t="s">
        <v>1347</v>
      </c>
      <c r="BQ16" t="s">
        <v>78</v>
      </c>
      <c r="BR16" t="s">
        <v>1426</v>
      </c>
      <c r="BS16" t="s">
        <v>63</v>
      </c>
      <c r="BT16" t="s">
        <v>66</v>
      </c>
      <c r="BU16" t="s">
        <v>66</v>
      </c>
      <c r="BV16" t="s">
        <v>66</v>
      </c>
      <c r="BW16" t="s">
        <v>66</v>
      </c>
      <c r="BX16" t="s">
        <v>66</v>
      </c>
      <c r="BY16" t="s">
        <v>66</v>
      </c>
      <c r="BZ16" t="s">
        <v>66</v>
      </c>
      <c r="CA16" t="s">
        <v>66</v>
      </c>
      <c r="CB16" t="s">
        <v>66</v>
      </c>
      <c r="CC16" t="s">
        <v>66</v>
      </c>
      <c r="CD16" t="s">
        <v>66</v>
      </c>
      <c r="CE16" t="s">
        <v>66</v>
      </c>
      <c r="CF16" t="s">
        <v>66</v>
      </c>
      <c r="CG16" t="s">
        <v>66</v>
      </c>
      <c r="CH16" t="s">
        <v>66</v>
      </c>
      <c r="CI16" t="s">
        <v>63</v>
      </c>
      <c r="CJ16" t="s">
        <v>66</v>
      </c>
      <c r="CK16" t="s">
        <v>66</v>
      </c>
      <c r="CL16" t="s">
        <v>66</v>
      </c>
      <c r="CM16" t="s">
        <v>66</v>
      </c>
      <c r="CN16" t="s">
        <v>66</v>
      </c>
      <c r="CO16" t="s">
        <v>66</v>
      </c>
      <c r="CP16" t="s">
        <v>66</v>
      </c>
      <c r="CQ16" t="s">
        <v>66</v>
      </c>
      <c r="CR16" t="s">
        <v>66</v>
      </c>
      <c r="CS16" t="s">
        <v>66</v>
      </c>
      <c r="CT16" t="s">
        <v>66</v>
      </c>
      <c r="CU16" t="s">
        <v>66</v>
      </c>
      <c r="CV16" t="s">
        <v>1427</v>
      </c>
    </row>
    <row r="17" spans="1:100" x14ac:dyDescent="0.25">
      <c r="A17" t="s">
        <v>1428</v>
      </c>
      <c r="B17" t="s">
        <v>769</v>
      </c>
      <c r="C17" s="1">
        <v>45889</v>
      </c>
      <c r="D17" t="s">
        <v>1429</v>
      </c>
      <c r="E17">
        <v>22286836</v>
      </c>
      <c r="F17">
        <v>45</v>
      </c>
      <c r="G17">
        <v>12</v>
      </c>
      <c r="H17" t="s">
        <v>849</v>
      </c>
      <c r="I17" t="s">
        <v>849</v>
      </c>
      <c r="J17" t="s">
        <v>1328</v>
      </c>
      <c r="K17" s="1">
        <v>24239</v>
      </c>
      <c r="L17" s="15">
        <f t="shared" si="0"/>
        <v>59</v>
      </c>
      <c r="M17" t="s">
        <v>59</v>
      </c>
      <c r="N17" t="s">
        <v>108</v>
      </c>
      <c r="O17" t="s">
        <v>1076</v>
      </c>
      <c r="P17" t="s">
        <v>61</v>
      </c>
      <c r="Q17" t="s">
        <v>61</v>
      </c>
      <c r="R17" t="s">
        <v>285</v>
      </c>
      <c r="S17" t="s">
        <v>61</v>
      </c>
      <c r="T17" t="s">
        <v>1246</v>
      </c>
      <c r="U17" t="s">
        <v>61</v>
      </c>
      <c r="V17" t="s">
        <v>1723</v>
      </c>
      <c r="W17" t="s">
        <v>1736</v>
      </c>
      <c r="X17" t="s">
        <v>66</v>
      </c>
      <c r="Y17" t="s">
        <v>66</v>
      </c>
      <c r="Z17" t="s">
        <v>66</v>
      </c>
      <c r="AA17" t="s">
        <v>66</v>
      </c>
      <c r="AB17" t="s">
        <v>63</v>
      </c>
      <c r="AC17" t="s">
        <v>66</v>
      </c>
      <c r="AD17">
        <v>1</v>
      </c>
      <c r="AE17">
        <v>3</v>
      </c>
      <c r="AF17" t="s">
        <v>61</v>
      </c>
      <c r="AG17" t="s">
        <v>132</v>
      </c>
      <c r="AH17" t="s">
        <v>63</v>
      </c>
      <c r="AI17" t="s">
        <v>66</v>
      </c>
      <c r="AJ17" t="s">
        <v>63</v>
      </c>
      <c r="AK17" t="s">
        <v>1430</v>
      </c>
      <c r="AL17" t="s">
        <v>61</v>
      </c>
      <c r="AM17" t="s">
        <v>66</v>
      </c>
      <c r="AN17">
        <v>1</v>
      </c>
      <c r="AO17" t="s">
        <v>61</v>
      </c>
      <c r="AP17" t="s">
        <v>1431</v>
      </c>
      <c r="AQ17" t="s">
        <v>1432</v>
      </c>
      <c r="AR17" t="s">
        <v>63</v>
      </c>
      <c r="AS17" t="s">
        <v>61</v>
      </c>
      <c r="AT17" t="s">
        <v>61</v>
      </c>
      <c r="AU17">
        <v>4.5</v>
      </c>
      <c r="AV17" t="s">
        <v>66</v>
      </c>
      <c r="AW17" t="s">
        <v>66</v>
      </c>
      <c r="AX17" t="s">
        <v>66</v>
      </c>
      <c r="AY17" t="s">
        <v>66</v>
      </c>
      <c r="AZ17" t="s">
        <v>66</v>
      </c>
      <c r="BA17" t="s">
        <v>66</v>
      </c>
      <c r="BB17" t="s">
        <v>1433</v>
      </c>
      <c r="BC17" t="s">
        <v>70</v>
      </c>
      <c r="BD17" s="3" t="s">
        <v>225</v>
      </c>
      <c r="BE17" t="s">
        <v>1394</v>
      </c>
      <c r="BF17" t="s">
        <v>104</v>
      </c>
      <c r="BG17" t="s">
        <v>71</v>
      </c>
      <c r="BH17" t="s">
        <v>63</v>
      </c>
      <c r="BI17" t="s">
        <v>254</v>
      </c>
      <c r="BJ17">
        <v>3</v>
      </c>
      <c r="BK17" t="s">
        <v>1434</v>
      </c>
      <c r="BL17">
        <v>15</v>
      </c>
      <c r="BM17" t="s">
        <v>882</v>
      </c>
      <c r="BN17" s="3" t="s">
        <v>1435</v>
      </c>
      <c r="BO17" t="s">
        <v>907</v>
      </c>
      <c r="BP17" t="s">
        <v>675</v>
      </c>
      <c r="BQ17" t="s">
        <v>78</v>
      </c>
      <c r="BR17" t="s">
        <v>1000</v>
      </c>
      <c r="BS17" t="s">
        <v>63</v>
      </c>
      <c r="BT17" t="s">
        <v>66</v>
      </c>
      <c r="BU17" t="s">
        <v>66</v>
      </c>
      <c r="BV17" t="s">
        <v>66</v>
      </c>
      <c r="BW17" t="s">
        <v>66</v>
      </c>
      <c r="BX17" t="s">
        <v>66</v>
      </c>
      <c r="BY17" t="s">
        <v>66</v>
      </c>
      <c r="BZ17" t="s">
        <v>66</v>
      </c>
      <c r="CA17" t="s">
        <v>66</v>
      </c>
      <c r="CB17" t="s">
        <v>66</v>
      </c>
      <c r="CC17" t="s">
        <v>66</v>
      </c>
      <c r="CD17" t="s">
        <v>66</v>
      </c>
      <c r="CE17" t="s">
        <v>66</v>
      </c>
      <c r="CF17" t="s">
        <v>66</v>
      </c>
      <c r="CG17" t="s">
        <v>66</v>
      </c>
      <c r="CH17" t="s">
        <v>66</v>
      </c>
      <c r="CI17" t="s">
        <v>63</v>
      </c>
      <c r="CJ17" s="3" t="s">
        <v>66</v>
      </c>
      <c r="CK17" s="3" t="s">
        <v>66</v>
      </c>
      <c r="CL17" s="3" t="s">
        <v>66</v>
      </c>
      <c r="CM17" s="3" t="s">
        <v>66</v>
      </c>
      <c r="CN17" s="3" t="s">
        <v>66</v>
      </c>
      <c r="CO17" s="3" t="s">
        <v>66</v>
      </c>
      <c r="CP17" s="3" t="s">
        <v>66</v>
      </c>
      <c r="CQ17" s="3" t="s">
        <v>66</v>
      </c>
      <c r="CR17" s="3" t="s">
        <v>66</v>
      </c>
      <c r="CS17" s="3" t="s">
        <v>66</v>
      </c>
      <c r="CT17" s="3" t="s">
        <v>66</v>
      </c>
      <c r="CU17" s="3" t="s">
        <v>66</v>
      </c>
      <c r="CV17" s="3" t="s">
        <v>1436</v>
      </c>
    </row>
    <row r="18" spans="1:100" x14ac:dyDescent="0.25">
      <c r="A18" t="s">
        <v>1437</v>
      </c>
      <c r="B18" t="s">
        <v>769</v>
      </c>
      <c r="C18" s="1">
        <v>45889</v>
      </c>
      <c r="D18" t="s">
        <v>1438</v>
      </c>
      <c r="E18">
        <v>22285867</v>
      </c>
      <c r="F18">
        <v>55</v>
      </c>
      <c r="G18">
        <v>55</v>
      </c>
      <c r="H18" t="s">
        <v>849</v>
      </c>
      <c r="I18" t="s">
        <v>1439</v>
      </c>
      <c r="J18" t="s">
        <v>849</v>
      </c>
      <c r="K18" s="1">
        <v>20503</v>
      </c>
      <c r="L18" s="15">
        <f t="shared" si="0"/>
        <v>69</v>
      </c>
      <c r="M18" t="s">
        <v>59</v>
      </c>
      <c r="N18" t="s">
        <v>108</v>
      </c>
      <c r="O18" t="s">
        <v>337</v>
      </c>
      <c r="P18" t="s">
        <v>61</v>
      </c>
      <c r="Q18" t="s">
        <v>61</v>
      </c>
      <c r="R18" t="s">
        <v>285</v>
      </c>
      <c r="S18" t="s">
        <v>61</v>
      </c>
      <c r="T18" t="s">
        <v>1440</v>
      </c>
      <c r="U18" t="s">
        <v>61</v>
      </c>
      <c r="V18" t="s">
        <v>1748</v>
      </c>
      <c r="W18" t="s">
        <v>1749</v>
      </c>
      <c r="X18" t="s">
        <v>66</v>
      </c>
      <c r="Y18" t="s">
        <v>66</v>
      </c>
      <c r="Z18" t="s">
        <v>66</v>
      </c>
      <c r="AA18" t="s">
        <v>66</v>
      </c>
      <c r="AB18" t="s">
        <v>61</v>
      </c>
      <c r="AC18" t="s">
        <v>1441</v>
      </c>
      <c r="AD18">
        <v>0</v>
      </c>
      <c r="AE18">
        <v>3</v>
      </c>
      <c r="AF18" t="s">
        <v>61</v>
      </c>
      <c r="AG18" t="s">
        <v>1442</v>
      </c>
      <c r="AH18" t="s">
        <v>61</v>
      </c>
      <c r="AI18" t="s">
        <v>1443</v>
      </c>
      <c r="AJ18" t="s">
        <v>61</v>
      </c>
      <c r="AK18" t="s">
        <v>66</v>
      </c>
      <c r="AL18" t="s">
        <v>61</v>
      </c>
      <c r="AM18" t="s">
        <v>66</v>
      </c>
      <c r="AN18">
        <v>2</v>
      </c>
      <c r="AO18" t="s">
        <v>61</v>
      </c>
      <c r="AP18" t="s">
        <v>1444</v>
      </c>
      <c r="AQ18" t="s">
        <v>1445</v>
      </c>
      <c r="AR18" t="s">
        <v>63</v>
      </c>
      <c r="AS18" t="s">
        <v>63</v>
      </c>
      <c r="AT18" t="s">
        <v>61</v>
      </c>
      <c r="AU18">
        <v>7.8</v>
      </c>
      <c r="AV18" t="s">
        <v>1446</v>
      </c>
      <c r="AW18" t="s">
        <v>1447</v>
      </c>
      <c r="AX18" t="s">
        <v>63</v>
      </c>
      <c r="AY18" t="s">
        <v>63</v>
      </c>
      <c r="AZ18" t="s">
        <v>61</v>
      </c>
      <c r="BA18">
        <v>5.8</v>
      </c>
      <c r="BB18">
        <v>204</v>
      </c>
      <c r="BC18" t="s">
        <v>341</v>
      </c>
      <c r="BD18">
        <v>6</v>
      </c>
      <c r="BE18" t="s">
        <v>1448</v>
      </c>
      <c r="BF18" t="s">
        <v>881</v>
      </c>
      <c r="BG18" t="s">
        <v>1189</v>
      </c>
      <c r="BH18" t="s">
        <v>63</v>
      </c>
      <c r="BI18" t="s">
        <v>102</v>
      </c>
      <c r="BJ18" t="s">
        <v>928</v>
      </c>
      <c r="BK18" t="s">
        <v>1449</v>
      </c>
      <c r="BL18">
        <v>7</v>
      </c>
      <c r="BM18">
        <v>2</v>
      </c>
      <c r="BN18" s="3" t="s">
        <v>276</v>
      </c>
      <c r="BO18" t="s">
        <v>275</v>
      </c>
      <c r="BP18">
        <v>5000</v>
      </c>
      <c r="BQ18" t="s">
        <v>78</v>
      </c>
      <c r="BR18" t="s">
        <v>1450</v>
      </c>
      <c r="BS18" t="s">
        <v>986</v>
      </c>
      <c r="BT18">
        <v>5</v>
      </c>
      <c r="BU18" t="s">
        <v>1448</v>
      </c>
      <c r="BV18" t="s">
        <v>881</v>
      </c>
      <c r="BW18" t="s">
        <v>71</v>
      </c>
      <c r="BX18" t="s">
        <v>63</v>
      </c>
      <c r="BY18" t="s">
        <v>174</v>
      </c>
      <c r="BZ18" s="3" t="s">
        <v>225</v>
      </c>
      <c r="CA18" t="s">
        <v>860</v>
      </c>
      <c r="CB18" t="s">
        <v>484</v>
      </c>
      <c r="CC18" t="s">
        <v>73</v>
      </c>
      <c r="CD18" s="3" t="s">
        <v>84</v>
      </c>
      <c r="CE18" t="s">
        <v>1358</v>
      </c>
      <c r="CF18" t="s">
        <v>1112</v>
      </c>
      <c r="CG18" t="s">
        <v>78</v>
      </c>
      <c r="CH18" t="s">
        <v>1052</v>
      </c>
      <c r="CI18" t="s">
        <v>63</v>
      </c>
      <c r="CJ18" s="3" t="s">
        <v>66</v>
      </c>
      <c r="CK18" s="3" t="s">
        <v>66</v>
      </c>
      <c r="CL18" s="3" t="s">
        <v>66</v>
      </c>
      <c r="CM18" s="3" t="s">
        <v>66</v>
      </c>
      <c r="CN18" s="3" t="s">
        <v>66</v>
      </c>
      <c r="CO18" s="3" t="s">
        <v>66</v>
      </c>
      <c r="CP18" s="3" t="s">
        <v>66</v>
      </c>
      <c r="CQ18" s="3" t="s">
        <v>66</v>
      </c>
      <c r="CR18" s="3" t="s">
        <v>66</v>
      </c>
      <c r="CS18" s="3" t="s">
        <v>66</v>
      </c>
      <c r="CT18" s="3" t="s">
        <v>66</v>
      </c>
      <c r="CU18" s="3" t="s">
        <v>66</v>
      </c>
      <c r="CV18" s="3" t="s">
        <v>1451</v>
      </c>
    </row>
    <row r="19" spans="1:100" x14ac:dyDescent="0.25">
      <c r="A19" t="s">
        <v>1452</v>
      </c>
      <c r="B19" t="s">
        <v>769</v>
      </c>
      <c r="C19" s="1">
        <v>45889</v>
      </c>
      <c r="D19" t="s">
        <v>1453</v>
      </c>
      <c r="E19">
        <v>22290522</v>
      </c>
      <c r="F19">
        <v>51</v>
      </c>
      <c r="G19">
        <v>16</v>
      </c>
      <c r="H19" t="s">
        <v>848</v>
      </c>
      <c r="I19" t="s">
        <v>849</v>
      </c>
      <c r="J19" t="s">
        <v>1454</v>
      </c>
      <c r="K19" s="1">
        <v>20809</v>
      </c>
      <c r="L19" s="15">
        <f t="shared" si="0"/>
        <v>68</v>
      </c>
      <c r="M19" t="s">
        <v>59</v>
      </c>
      <c r="N19" t="s">
        <v>321</v>
      </c>
      <c r="O19" t="s">
        <v>90</v>
      </c>
      <c r="P19" t="s">
        <v>61</v>
      </c>
      <c r="Q19" t="s">
        <v>61</v>
      </c>
      <c r="R19" t="s">
        <v>62</v>
      </c>
      <c r="S19" t="s">
        <v>61</v>
      </c>
      <c r="T19" t="s">
        <v>1455</v>
      </c>
      <c r="U19" t="s">
        <v>63</v>
      </c>
      <c r="V19" t="s">
        <v>66</v>
      </c>
      <c r="W19" t="s">
        <v>66</v>
      </c>
      <c r="X19" t="s">
        <v>66</v>
      </c>
      <c r="Y19" t="s">
        <v>66</v>
      </c>
      <c r="Z19" t="s">
        <v>66</v>
      </c>
      <c r="AA19" t="s">
        <v>66</v>
      </c>
      <c r="AB19" t="s">
        <v>61</v>
      </c>
      <c r="AC19" t="s">
        <v>1456</v>
      </c>
      <c r="AD19">
        <v>3</v>
      </c>
      <c r="AE19">
        <v>5</v>
      </c>
      <c r="AF19" t="s">
        <v>63</v>
      </c>
      <c r="AG19" t="s">
        <v>66</v>
      </c>
      <c r="AH19" t="s">
        <v>61</v>
      </c>
      <c r="AI19" t="s">
        <v>1457</v>
      </c>
      <c r="AJ19" t="s">
        <v>574</v>
      </c>
      <c r="AK19" t="s">
        <v>66</v>
      </c>
      <c r="AL19" t="s">
        <v>61</v>
      </c>
      <c r="AM19" t="s">
        <v>66</v>
      </c>
      <c r="AN19">
        <v>1</v>
      </c>
      <c r="AO19" t="s">
        <v>61</v>
      </c>
      <c r="AP19" t="s">
        <v>1458</v>
      </c>
      <c r="AQ19" t="s">
        <v>1459</v>
      </c>
      <c r="AR19" t="s">
        <v>93</v>
      </c>
      <c r="AS19" t="s">
        <v>61</v>
      </c>
      <c r="AT19" t="s">
        <v>61</v>
      </c>
      <c r="AU19">
        <v>4</v>
      </c>
      <c r="AV19" t="s">
        <v>66</v>
      </c>
      <c r="AW19" t="s">
        <v>66</v>
      </c>
      <c r="AX19" t="s">
        <v>66</v>
      </c>
      <c r="AY19" t="s">
        <v>66</v>
      </c>
      <c r="AZ19" t="s">
        <v>66</v>
      </c>
      <c r="BA19" t="s">
        <v>66</v>
      </c>
      <c r="BB19">
        <v>192</v>
      </c>
      <c r="BC19" t="s">
        <v>70</v>
      </c>
      <c r="BD19">
        <v>4</v>
      </c>
      <c r="BE19" t="s">
        <v>1460</v>
      </c>
      <c r="BF19" t="s">
        <v>104</v>
      </c>
      <c r="BG19" t="s">
        <v>71</v>
      </c>
      <c r="BH19" t="s">
        <v>63</v>
      </c>
      <c r="BI19" t="s">
        <v>257</v>
      </c>
      <c r="BJ19" s="3" t="s">
        <v>589</v>
      </c>
      <c r="BK19" t="s">
        <v>1461</v>
      </c>
      <c r="BL19">
        <v>15</v>
      </c>
      <c r="BM19" t="s">
        <v>73</v>
      </c>
      <c r="BN19" s="3" t="s">
        <v>467</v>
      </c>
      <c r="BO19" t="s">
        <v>1358</v>
      </c>
      <c r="BP19" t="s">
        <v>1462</v>
      </c>
      <c r="BQ19" t="s">
        <v>78</v>
      </c>
      <c r="BR19" t="s">
        <v>1463</v>
      </c>
      <c r="BS19" t="s">
        <v>63</v>
      </c>
      <c r="BT19" t="s">
        <v>66</v>
      </c>
      <c r="BU19" t="s">
        <v>66</v>
      </c>
      <c r="BV19" t="s">
        <v>66</v>
      </c>
      <c r="BW19" t="s">
        <v>66</v>
      </c>
      <c r="BX19" t="s">
        <v>66</v>
      </c>
      <c r="BY19" t="s">
        <v>66</v>
      </c>
      <c r="BZ19" t="s">
        <v>66</v>
      </c>
      <c r="CA19" t="s">
        <v>66</v>
      </c>
      <c r="CB19" t="s">
        <v>66</v>
      </c>
      <c r="CC19" t="s">
        <v>66</v>
      </c>
      <c r="CD19" t="s">
        <v>66</v>
      </c>
      <c r="CE19" t="s">
        <v>66</v>
      </c>
      <c r="CF19" t="s">
        <v>66</v>
      </c>
      <c r="CG19" t="s">
        <v>66</v>
      </c>
      <c r="CH19" t="s">
        <v>66</v>
      </c>
      <c r="CI19" t="s">
        <v>63</v>
      </c>
      <c r="CJ19" s="3" t="s">
        <v>66</v>
      </c>
      <c r="CK19" s="3" t="s">
        <v>66</v>
      </c>
      <c r="CL19" s="3" t="s">
        <v>66</v>
      </c>
      <c r="CM19" s="3" t="s">
        <v>66</v>
      </c>
      <c r="CN19" s="3" t="s">
        <v>66</v>
      </c>
      <c r="CO19" s="3" t="s">
        <v>66</v>
      </c>
      <c r="CP19" s="3" t="s">
        <v>66</v>
      </c>
      <c r="CQ19" s="3" t="s">
        <v>66</v>
      </c>
      <c r="CR19" s="3" t="s">
        <v>66</v>
      </c>
      <c r="CS19" s="3" t="s">
        <v>66</v>
      </c>
      <c r="CT19" s="3" t="s">
        <v>66</v>
      </c>
      <c r="CU19" s="3" t="s">
        <v>66</v>
      </c>
      <c r="CV19" s="3" t="s">
        <v>1464</v>
      </c>
    </row>
    <row r="20" spans="1:100" x14ac:dyDescent="0.25">
      <c r="A20" t="s">
        <v>1465</v>
      </c>
      <c r="B20" t="s">
        <v>769</v>
      </c>
      <c r="C20" s="1">
        <v>45888</v>
      </c>
      <c r="D20" t="s">
        <v>1466</v>
      </c>
      <c r="E20">
        <v>22287358</v>
      </c>
      <c r="F20">
        <v>40</v>
      </c>
      <c r="G20">
        <v>30</v>
      </c>
      <c r="H20" t="s">
        <v>849</v>
      </c>
      <c r="I20" t="s">
        <v>849</v>
      </c>
      <c r="J20" t="s">
        <v>1467</v>
      </c>
      <c r="K20" s="1">
        <v>24810</v>
      </c>
      <c r="L20" s="15">
        <f t="shared" si="0"/>
        <v>57</v>
      </c>
      <c r="M20" t="s">
        <v>59</v>
      </c>
      <c r="N20" t="s">
        <v>108</v>
      </c>
      <c r="O20" t="s">
        <v>322</v>
      </c>
      <c r="P20" t="s">
        <v>61</v>
      </c>
      <c r="Q20" t="s">
        <v>61</v>
      </c>
      <c r="R20" t="s">
        <v>62</v>
      </c>
      <c r="S20" t="s">
        <v>61</v>
      </c>
      <c r="T20" t="s">
        <v>1266</v>
      </c>
      <c r="U20" t="s">
        <v>61</v>
      </c>
      <c r="V20" t="s">
        <v>1723</v>
      </c>
      <c r="W20" t="s">
        <v>1724</v>
      </c>
      <c r="X20" t="s">
        <v>66</v>
      </c>
      <c r="Y20" t="s">
        <v>66</v>
      </c>
      <c r="Z20" t="s">
        <v>66</v>
      </c>
      <c r="AA20" t="s">
        <v>66</v>
      </c>
      <c r="AB20" t="s">
        <v>63</v>
      </c>
      <c r="AC20" t="s">
        <v>66</v>
      </c>
      <c r="AD20">
        <v>1</v>
      </c>
      <c r="AE20">
        <v>4</v>
      </c>
      <c r="AF20" t="s">
        <v>61</v>
      </c>
      <c r="AG20" t="s">
        <v>132</v>
      </c>
      <c r="AH20" t="s">
        <v>61</v>
      </c>
      <c r="AI20" t="s">
        <v>1468</v>
      </c>
      <c r="AJ20" t="s">
        <v>63</v>
      </c>
      <c r="AK20" t="s">
        <v>1469</v>
      </c>
      <c r="AL20" t="s">
        <v>63</v>
      </c>
      <c r="AM20" t="s">
        <v>1470</v>
      </c>
      <c r="AN20">
        <v>1</v>
      </c>
      <c r="AO20" t="s">
        <v>61</v>
      </c>
      <c r="AP20" t="s">
        <v>1471</v>
      </c>
      <c r="AQ20" t="s">
        <v>1472</v>
      </c>
      <c r="AR20" t="s">
        <v>63</v>
      </c>
      <c r="AS20" t="s">
        <v>61</v>
      </c>
      <c r="AT20" t="s">
        <v>61</v>
      </c>
      <c r="AU20">
        <v>4</v>
      </c>
      <c r="AV20" t="s">
        <v>66</v>
      </c>
      <c r="AW20" t="s">
        <v>66</v>
      </c>
      <c r="AX20" t="s">
        <v>66</v>
      </c>
      <c r="AY20" t="s">
        <v>66</v>
      </c>
      <c r="AZ20" t="s">
        <v>66</v>
      </c>
      <c r="BA20" t="s">
        <v>66</v>
      </c>
      <c r="BB20" t="s">
        <v>1473</v>
      </c>
      <c r="BC20" t="s">
        <v>70</v>
      </c>
      <c r="BD20">
        <v>3</v>
      </c>
      <c r="BE20" t="s">
        <v>388</v>
      </c>
      <c r="BF20" t="s">
        <v>104</v>
      </c>
      <c r="BG20" t="s">
        <v>71</v>
      </c>
      <c r="BH20" t="s">
        <v>63</v>
      </c>
      <c r="BI20" t="s">
        <v>554</v>
      </c>
      <c r="BJ20" s="3" t="s">
        <v>373</v>
      </c>
      <c r="BK20" t="s">
        <v>1474</v>
      </c>
      <c r="BL20">
        <v>20</v>
      </c>
      <c r="BM20" t="s">
        <v>1232</v>
      </c>
      <c r="BN20" s="3" t="s">
        <v>700</v>
      </c>
      <c r="BO20" t="s">
        <v>999</v>
      </c>
      <c r="BP20" t="s">
        <v>1475</v>
      </c>
      <c r="BQ20" t="s">
        <v>78</v>
      </c>
      <c r="BR20" t="s">
        <v>1476</v>
      </c>
      <c r="BS20" t="s">
        <v>63</v>
      </c>
      <c r="BT20" t="s">
        <v>66</v>
      </c>
      <c r="BU20" t="s">
        <v>66</v>
      </c>
      <c r="BV20" t="s">
        <v>66</v>
      </c>
      <c r="BW20" t="s">
        <v>66</v>
      </c>
      <c r="BX20" t="s">
        <v>66</v>
      </c>
      <c r="BY20" t="s">
        <v>66</v>
      </c>
      <c r="BZ20" t="s">
        <v>66</v>
      </c>
      <c r="CA20" t="s">
        <v>66</v>
      </c>
      <c r="CB20" t="s">
        <v>66</v>
      </c>
      <c r="CC20" t="s">
        <v>66</v>
      </c>
      <c r="CD20" t="s">
        <v>66</v>
      </c>
      <c r="CE20" t="s">
        <v>66</v>
      </c>
      <c r="CF20" t="s">
        <v>66</v>
      </c>
      <c r="CG20" t="s">
        <v>66</v>
      </c>
      <c r="CH20" t="s">
        <v>66</v>
      </c>
      <c r="CI20" t="s">
        <v>63</v>
      </c>
      <c r="CJ20" s="3" t="s">
        <v>66</v>
      </c>
      <c r="CK20" s="3" t="s">
        <v>66</v>
      </c>
      <c r="CL20" s="3" t="s">
        <v>66</v>
      </c>
      <c r="CM20" s="3" t="s">
        <v>66</v>
      </c>
      <c r="CN20" s="3" t="s">
        <v>66</v>
      </c>
      <c r="CO20" s="3" t="s">
        <v>66</v>
      </c>
      <c r="CP20" s="3" t="s">
        <v>66</v>
      </c>
      <c r="CQ20" s="3" t="s">
        <v>66</v>
      </c>
      <c r="CR20" s="3" t="s">
        <v>66</v>
      </c>
      <c r="CS20" s="3" t="s">
        <v>66</v>
      </c>
      <c r="CT20" s="3" t="s">
        <v>66</v>
      </c>
      <c r="CU20" s="3" t="s">
        <v>66</v>
      </c>
      <c r="CV20" s="3" t="s">
        <v>1477</v>
      </c>
    </row>
    <row r="21" spans="1:100" x14ac:dyDescent="0.25">
      <c r="A21" t="s">
        <v>1478</v>
      </c>
      <c r="B21" t="s">
        <v>769</v>
      </c>
      <c r="C21" s="1">
        <v>45888</v>
      </c>
      <c r="D21" s="22" t="s">
        <v>1479</v>
      </c>
      <c r="E21">
        <v>22287811</v>
      </c>
      <c r="F21">
        <v>35</v>
      </c>
      <c r="G21">
        <v>20</v>
      </c>
      <c r="H21" t="s">
        <v>849</v>
      </c>
      <c r="I21" t="s">
        <v>849</v>
      </c>
      <c r="J21" t="s">
        <v>1317</v>
      </c>
      <c r="K21" s="1">
        <v>25572</v>
      </c>
      <c r="L21" s="15">
        <f t="shared" si="0"/>
        <v>55</v>
      </c>
      <c r="M21" t="s">
        <v>59</v>
      </c>
      <c r="N21" t="s">
        <v>108</v>
      </c>
      <c r="O21" t="s">
        <v>60</v>
      </c>
      <c r="P21" t="s">
        <v>61</v>
      </c>
      <c r="Q21" t="s">
        <v>63</v>
      </c>
      <c r="R21" t="s">
        <v>285</v>
      </c>
      <c r="S21" t="s">
        <v>61</v>
      </c>
      <c r="T21" t="s">
        <v>1246</v>
      </c>
      <c r="U21" t="s">
        <v>61</v>
      </c>
      <c r="V21" t="s">
        <v>1745</v>
      </c>
      <c r="W21" t="s">
        <v>1750</v>
      </c>
      <c r="X21" t="s">
        <v>66</v>
      </c>
      <c r="Y21" t="s">
        <v>66</v>
      </c>
      <c r="Z21" t="s">
        <v>66</v>
      </c>
      <c r="AA21" t="s">
        <v>66</v>
      </c>
      <c r="AB21" t="s">
        <v>63</v>
      </c>
      <c r="AC21" t="s">
        <v>66</v>
      </c>
      <c r="AD21">
        <v>2</v>
      </c>
      <c r="AE21">
        <v>3</v>
      </c>
      <c r="AF21" t="s">
        <v>61</v>
      </c>
      <c r="AG21" t="s">
        <v>132</v>
      </c>
      <c r="AH21" t="s">
        <v>63</v>
      </c>
      <c r="AI21" t="s">
        <v>66</v>
      </c>
      <c r="AJ21" t="s">
        <v>61</v>
      </c>
      <c r="AK21" t="s">
        <v>66</v>
      </c>
      <c r="AL21" t="s">
        <v>61</v>
      </c>
      <c r="AM21" t="s">
        <v>66</v>
      </c>
      <c r="AN21">
        <v>1</v>
      </c>
      <c r="AO21" t="s">
        <v>61</v>
      </c>
      <c r="AP21" t="s">
        <v>1480</v>
      </c>
      <c r="AQ21" t="s">
        <v>1481</v>
      </c>
      <c r="AR21" t="s">
        <v>63</v>
      </c>
      <c r="AS21" t="s">
        <v>61</v>
      </c>
      <c r="AT21" t="s">
        <v>61</v>
      </c>
      <c r="AU21">
        <v>6</v>
      </c>
      <c r="AV21" t="s">
        <v>66</v>
      </c>
      <c r="AW21" t="s">
        <v>66</v>
      </c>
      <c r="AX21" t="s">
        <v>66</v>
      </c>
      <c r="AY21" t="s">
        <v>66</v>
      </c>
      <c r="AZ21" t="s">
        <v>66</v>
      </c>
      <c r="BA21" t="s">
        <v>66</v>
      </c>
      <c r="BB21" t="s">
        <v>1482</v>
      </c>
      <c r="BC21" t="s">
        <v>70</v>
      </c>
      <c r="BD21">
        <v>3</v>
      </c>
      <c r="BE21" t="s">
        <v>672</v>
      </c>
      <c r="BF21" t="s">
        <v>104</v>
      </c>
      <c r="BG21" t="s">
        <v>71</v>
      </c>
      <c r="BH21" t="s">
        <v>63</v>
      </c>
      <c r="BI21" t="s">
        <v>624</v>
      </c>
      <c r="BJ21">
        <v>3</v>
      </c>
      <c r="BK21" t="s">
        <v>948</v>
      </c>
      <c r="BL21" t="s">
        <v>83</v>
      </c>
      <c r="BM21" t="s">
        <v>882</v>
      </c>
      <c r="BN21" s="3" t="s">
        <v>488</v>
      </c>
      <c r="BO21" t="s">
        <v>1483</v>
      </c>
      <c r="BP21" t="s">
        <v>502</v>
      </c>
      <c r="BQ21" t="s">
        <v>78</v>
      </c>
      <c r="BR21" t="s">
        <v>1484</v>
      </c>
      <c r="BS21" t="s">
        <v>107</v>
      </c>
      <c r="BT21">
        <v>4</v>
      </c>
      <c r="BU21" t="s">
        <v>1485</v>
      </c>
      <c r="BV21" t="s">
        <v>104</v>
      </c>
      <c r="BW21" t="s">
        <v>79</v>
      </c>
      <c r="BX21" t="s">
        <v>63</v>
      </c>
      <c r="BY21" t="s">
        <v>254</v>
      </c>
      <c r="BZ21">
        <v>9</v>
      </c>
      <c r="CA21" t="s">
        <v>1486</v>
      </c>
      <c r="CB21">
        <v>7</v>
      </c>
      <c r="CC21" s="24" t="s">
        <v>80</v>
      </c>
      <c r="CD21" s="3" t="s">
        <v>77</v>
      </c>
      <c r="CE21" t="s">
        <v>363</v>
      </c>
      <c r="CF21" t="s">
        <v>173</v>
      </c>
      <c r="CG21" t="s">
        <v>970</v>
      </c>
      <c r="CH21" s="3" t="s">
        <v>348</v>
      </c>
      <c r="CI21" t="s">
        <v>107</v>
      </c>
      <c r="CJ21" s="3" t="s">
        <v>96</v>
      </c>
      <c r="CK21" s="3" t="s">
        <v>63</v>
      </c>
      <c r="CL21" s="3" t="s">
        <v>1487</v>
      </c>
      <c r="CM21" s="3" t="s">
        <v>1488</v>
      </c>
      <c r="CN21" t="s">
        <v>1489</v>
      </c>
      <c r="CO21" s="3" t="s">
        <v>225</v>
      </c>
      <c r="CP21">
        <v>2</v>
      </c>
      <c r="CQ21" s="3" t="s">
        <v>800</v>
      </c>
      <c r="CR21" s="3" t="s">
        <v>140</v>
      </c>
      <c r="CS21">
        <v>5000</v>
      </c>
      <c r="CT21" s="3" t="s">
        <v>970</v>
      </c>
      <c r="CU21" s="3" t="s">
        <v>1490</v>
      </c>
      <c r="CV21" s="3" t="s">
        <v>1491</v>
      </c>
    </row>
    <row r="22" spans="1:100" x14ac:dyDescent="0.25">
      <c r="A22" t="s">
        <v>1492</v>
      </c>
      <c r="B22" t="s">
        <v>769</v>
      </c>
      <c r="C22" s="1">
        <v>45888</v>
      </c>
      <c r="D22" t="s">
        <v>1493</v>
      </c>
      <c r="E22">
        <v>22265880</v>
      </c>
      <c r="F22">
        <v>50</v>
      </c>
      <c r="G22">
        <v>10</v>
      </c>
      <c r="H22" t="s">
        <v>848</v>
      </c>
      <c r="I22" t="s">
        <v>849</v>
      </c>
      <c r="J22" t="s">
        <v>849</v>
      </c>
      <c r="K22" s="1">
        <v>21763</v>
      </c>
      <c r="L22" s="15">
        <f t="shared" si="0"/>
        <v>66</v>
      </c>
      <c r="M22" t="s">
        <v>59</v>
      </c>
      <c r="N22" t="s">
        <v>89</v>
      </c>
      <c r="O22" t="s">
        <v>322</v>
      </c>
      <c r="P22" t="s">
        <v>61</v>
      </c>
      <c r="Q22" t="s">
        <v>61</v>
      </c>
      <c r="R22" t="s">
        <v>62</v>
      </c>
      <c r="S22" t="s">
        <v>61</v>
      </c>
      <c r="T22" t="s">
        <v>1266</v>
      </c>
      <c r="U22" t="s">
        <v>61</v>
      </c>
      <c r="V22" t="s">
        <v>1723</v>
      </c>
      <c r="W22" t="s">
        <v>1724</v>
      </c>
      <c r="X22" t="s">
        <v>66</v>
      </c>
      <c r="Y22" t="s">
        <v>66</v>
      </c>
      <c r="Z22" t="s">
        <v>66</v>
      </c>
      <c r="AA22" t="s">
        <v>66</v>
      </c>
      <c r="AB22" t="s">
        <v>63</v>
      </c>
      <c r="AC22" t="s">
        <v>66</v>
      </c>
      <c r="AD22">
        <v>0</v>
      </c>
      <c r="AE22">
        <v>3</v>
      </c>
      <c r="AF22" t="s">
        <v>63</v>
      </c>
      <c r="AG22" t="s">
        <v>66</v>
      </c>
      <c r="AH22" t="s">
        <v>61</v>
      </c>
      <c r="AI22" t="s">
        <v>904</v>
      </c>
      <c r="AJ22" t="s">
        <v>93</v>
      </c>
      <c r="AK22" t="s">
        <v>66</v>
      </c>
      <c r="AL22" t="s">
        <v>93</v>
      </c>
      <c r="AM22" t="s">
        <v>66</v>
      </c>
      <c r="AN22">
        <v>1</v>
      </c>
      <c r="AO22" t="s">
        <v>61</v>
      </c>
      <c r="AP22" t="s">
        <v>1494</v>
      </c>
      <c r="AQ22" t="s">
        <v>1495</v>
      </c>
      <c r="AR22" t="s">
        <v>63</v>
      </c>
      <c r="AS22" t="s">
        <v>61</v>
      </c>
      <c r="AT22" t="s">
        <v>61</v>
      </c>
      <c r="AU22">
        <v>4</v>
      </c>
      <c r="AV22" t="s">
        <v>66</v>
      </c>
      <c r="AW22" t="s">
        <v>66</v>
      </c>
      <c r="AX22" t="s">
        <v>66</v>
      </c>
      <c r="AY22" t="s">
        <v>66</v>
      </c>
      <c r="AZ22" t="s">
        <v>66</v>
      </c>
      <c r="BA22" t="s">
        <v>66</v>
      </c>
      <c r="BB22">
        <v>170</v>
      </c>
      <c r="BC22" t="s">
        <v>70</v>
      </c>
      <c r="BD22" s="3" t="s">
        <v>225</v>
      </c>
      <c r="BE22" t="s">
        <v>1496</v>
      </c>
      <c r="BF22" t="s">
        <v>104</v>
      </c>
      <c r="BG22" t="s">
        <v>71</v>
      </c>
      <c r="BH22" t="s">
        <v>63</v>
      </c>
      <c r="BI22" t="s">
        <v>257</v>
      </c>
      <c r="BJ22" s="3" t="s">
        <v>225</v>
      </c>
      <c r="BK22" t="s">
        <v>1497</v>
      </c>
      <c r="BL22" t="s">
        <v>1178</v>
      </c>
      <c r="BM22" t="s">
        <v>73</v>
      </c>
      <c r="BN22" s="3" t="s">
        <v>488</v>
      </c>
      <c r="BO22" t="s">
        <v>907</v>
      </c>
      <c r="BP22" t="s">
        <v>502</v>
      </c>
      <c r="BQ22" t="s">
        <v>78</v>
      </c>
      <c r="BR22" t="s">
        <v>1498</v>
      </c>
      <c r="BS22" t="s">
        <v>63</v>
      </c>
      <c r="BT22" t="s">
        <v>66</v>
      </c>
      <c r="BU22" t="s">
        <v>66</v>
      </c>
      <c r="BV22" t="s">
        <v>66</v>
      </c>
      <c r="BW22" t="s">
        <v>66</v>
      </c>
      <c r="BX22" t="s">
        <v>66</v>
      </c>
      <c r="BY22" t="s">
        <v>66</v>
      </c>
      <c r="BZ22" t="s">
        <v>66</v>
      </c>
      <c r="CA22" t="s">
        <v>66</v>
      </c>
      <c r="CB22" t="s">
        <v>66</v>
      </c>
      <c r="CC22" t="s">
        <v>66</v>
      </c>
      <c r="CD22" t="s">
        <v>66</v>
      </c>
      <c r="CE22" t="s">
        <v>66</v>
      </c>
      <c r="CF22" t="s">
        <v>66</v>
      </c>
      <c r="CG22" t="s">
        <v>66</v>
      </c>
      <c r="CH22" t="s">
        <v>66</v>
      </c>
      <c r="CI22" t="s">
        <v>63</v>
      </c>
      <c r="CJ22" s="3" t="s">
        <v>66</v>
      </c>
      <c r="CK22" s="3" t="s">
        <v>66</v>
      </c>
      <c r="CL22" s="3" t="s">
        <v>66</v>
      </c>
      <c r="CM22" s="3" t="s">
        <v>66</v>
      </c>
      <c r="CN22" s="3" t="s">
        <v>66</v>
      </c>
      <c r="CO22" s="3" t="s">
        <v>66</v>
      </c>
      <c r="CP22" s="3" t="s">
        <v>66</v>
      </c>
      <c r="CQ22" s="3" t="s">
        <v>66</v>
      </c>
      <c r="CR22" s="3" t="s">
        <v>66</v>
      </c>
      <c r="CS22" s="3" t="s">
        <v>66</v>
      </c>
      <c r="CT22" s="3" t="s">
        <v>66</v>
      </c>
      <c r="CU22" s="3" t="s">
        <v>66</v>
      </c>
      <c r="CV22" s="3" t="s">
        <v>1499</v>
      </c>
    </row>
    <row r="23" spans="1:100" x14ac:dyDescent="0.25">
      <c r="A23" t="s">
        <v>1500</v>
      </c>
      <c r="B23" t="s">
        <v>769</v>
      </c>
      <c r="C23" s="1">
        <v>45887</v>
      </c>
      <c r="D23" t="s">
        <v>1501</v>
      </c>
      <c r="E23">
        <v>45243453</v>
      </c>
      <c r="F23">
        <v>20</v>
      </c>
      <c r="G23">
        <v>10</v>
      </c>
      <c r="H23" t="s">
        <v>1502</v>
      </c>
      <c r="I23" t="s">
        <v>1503</v>
      </c>
      <c r="J23" t="s">
        <v>1503</v>
      </c>
      <c r="K23" s="1">
        <v>30793</v>
      </c>
      <c r="L23" s="15">
        <f t="shared" si="0"/>
        <v>41</v>
      </c>
      <c r="M23" t="s">
        <v>59</v>
      </c>
      <c r="N23" t="s">
        <v>108</v>
      </c>
      <c r="O23" t="s">
        <v>60</v>
      </c>
      <c r="P23" t="s">
        <v>61</v>
      </c>
      <c r="Q23" t="s">
        <v>61</v>
      </c>
      <c r="R23" t="s">
        <v>62</v>
      </c>
      <c r="S23" t="s">
        <v>61</v>
      </c>
      <c r="T23" t="s">
        <v>1266</v>
      </c>
      <c r="U23" t="s">
        <v>61</v>
      </c>
      <c r="V23" t="s">
        <v>1723</v>
      </c>
      <c r="W23" t="s">
        <v>1751</v>
      </c>
      <c r="X23" t="s">
        <v>66</v>
      </c>
      <c r="Y23" t="s">
        <v>66</v>
      </c>
      <c r="Z23" t="s">
        <v>66</v>
      </c>
      <c r="AA23" t="s">
        <v>66</v>
      </c>
      <c r="AB23" t="s">
        <v>61</v>
      </c>
      <c r="AC23" t="s">
        <v>1504</v>
      </c>
      <c r="AD23">
        <v>4</v>
      </c>
      <c r="AE23">
        <v>3</v>
      </c>
      <c r="AF23" t="s">
        <v>61</v>
      </c>
      <c r="AG23" t="s">
        <v>132</v>
      </c>
      <c r="AH23" t="s">
        <v>63</v>
      </c>
      <c r="AI23" t="s">
        <v>66</v>
      </c>
      <c r="AJ23" t="s">
        <v>61</v>
      </c>
      <c r="AK23" t="s">
        <v>66</v>
      </c>
      <c r="AL23" t="s">
        <v>93</v>
      </c>
      <c r="AM23" t="s">
        <v>66</v>
      </c>
      <c r="AN23">
        <v>1</v>
      </c>
      <c r="AO23" t="s">
        <v>61</v>
      </c>
      <c r="AP23" t="s">
        <v>1505</v>
      </c>
      <c r="AQ23" t="s">
        <v>1506</v>
      </c>
      <c r="AR23" t="s">
        <v>63</v>
      </c>
      <c r="AS23" t="s">
        <v>61</v>
      </c>
      <c r="AT23" t="s">
        <v>61</v>
      </c>
      <c r="AU23">
        <v>4</v>
      </c>
      <c r="AV23" t="s">
        <v>66</v>
      </c>
      <c r="AW23" t="s">
        <v>66</v>
      </c>
      <c r="AX23" t="s">
        <v>66</v>
      </c>
      <c r="AY23" t="s">
        <v>66</v>
      </c>
      <c r="AZ23" t="s">
        <v>66</v>
      </c>
      <c r="BA23" t="s">
        <v>66</v>
      </c>
      <c r="BB23" t="s">
        <v>1507</v>
      </c>
      <c r="BC23" t="s">
        <v>70</v>
      </c>
      <c r="BD23" s="3" t="s">
        <v>225</v>
      </c>
      <c r="BE23" t="s">
        <v>672</v>
      </c>
      <c r="BF23" t="s">
        <v>104</v>
      </c>
      <c r="BG23" t="s">
        <v>71</v>
      </c>
      <c r="BH23" t="s">
        <v>63</v>
      </c>
      <c r="BI23" t="s">
        <v>257</v>
      </c>
      <c r="BJ23" s="3" t="s">
        <v>77</v>
      </c>
      <c r="BK23" t="s">
        <v>1311</v>
      </c>
      <c r="BL23" s="3" t="s">
        <v>428</v>
      </c>
      <c r="BM23">
        <v>24</v>
      </c>
      <c r="BN23" s="3" t="s">
        <v>763</v>
      </c>
      <c r="BO23" t="s">
        <v>175</v>
      </c>
      <c r="BP23" s="3" t="s">
        <v>1508</v>
      </c>
      <c r="BQ23" t="s">
        <v>970</v>
      </c>
      <c r="BR23" s="3" t="s">
        <v>1509</v>
      </c>
      <c r="BS23" t="s">
        <v>63</v>
      </c>
      <c r="BT23" t="s">
        <v>66</v>
      </c>
      <c r="BU23" t="s">
        <v>66</v>
      </c>
      <c r="BV23" t="s">
        <v>66</v>
      </c>
      <c r="BW23" t="s">
        <v>66</v>
      </c>
      <c r="BX23" t="s">
        <v>66</v>
      </c>
      <c r="BY23" t="s">
        <v>66</v>
      </c>
      <c r="BZ23" t="s">
        <v>66</v>
      </c>
      <c r="CA23" t="s">
        <v>66</v>
      </c>
      <c r="CB23" t="s">
        <v>66</v>
      </c>
      <c r="CC23" t="s">
        <v>66</v>
      </c>
      <c r="CD23" t="s">
        <v>66</v>
      </c>
      <c r="CE23" t="s">
        <v>66</v>
      </c>
      <c r="CF23" t="s">
        <v>66</v>
      </c>
      <c r="CG23" t="s">
        <v>66</v>
      </c>
      <c r="CH23" t="s">
        <v>66</v>
      </c>
      <c r="CI23" t="s">
        <v>63</v>
      </c>
      <c r="CJ23" s="3" t="s">
        <v>66</v>
      </c>
      <c r="CK23" s="3" t="s">
        <v>66</v>
      </c>
      <c r="CL23" s="3" t="s">
        <v>66</v>
      </c>
      <c r="CM23" s="3" t="s">
        <v>66</v>
      </c>
      <c r="CN23" s="3" t="s">
        <v>66</v>
      </c>
      <c r="CO23" s="3" t="s">
        <v>66</v>
      </c>
      <c r="CP23" s="3" t="s">
        <v>66</v>
      </c>
      <c r="CQ23" s="3" t="s">
        <v>66</v>
      </c>
      <c r="CR23" s="3" t="s">
        <v>66</v>
      </c>
      <c r="CS23" s="3" t="s">
        <v>66</v>
      </c>
      <c r="CT23" s="3" t="s">
        <v>66</v>
      </c>
      <c r="CU23" s="3" t="s">
        <v>66</v>
      </c>
      <c r="CV23" s="3" t="s">
        <v>1510</v>
      </c>
    </row>
    <row r="24" spans="1:100" x14ac:dyDescent="0.25">
      <c r="A24" t="s">
        <v>1511</v>
      </c>
      <c r="B24" t="s">
        <v>769</v>
      </c>
      <c r="C24" s="1">
        <v>45889</v>
      </c>
      <c r="D24" t="s">
        <v>1512</v>
      </c>
      <c r="E24">
        <v>22309838</v>
      </c>
      <c r="F24">
        <v>49</v>
      </c>
      <c r="G24">
        <v>20</v>
      </c>
      <c r="H24" t="s">
        <v>1241</v>
      </c>
      <c r="I24" t="s">
        <v>1241</v>
      </c>
      <c r="J24" t="s">
        <v>1241</v>
      </c>
      <c r="K24" s="1">
        <v>24305</v>
      </c>
      <c r="L24" s="15">
        <f t="shared" si="0"/>
        <v>59</v>
      </c>
      <c r="M24" t="s">
        <v>59</v>
      </c>
      <c r="N24" t="s">
        <v>108</v>
      </c>
      <c r="O24" t="s">
        <v>1076</v>
      </c>
      <c r="P24" t="s">
        <v>63</v>
      </c>
      <c r="Q24" t="s">
        <v>61</v>
      </c>
      <c r="R24" t="s">
        <v>62</v>
      </c>
      <c r="S24" t="s">
        <v>61</v>
      </c>
      <c r="T24" t="s">
        <v>1513</v>
      </c>
      <c r="U24" t="s">
        <v>61</v>
      </c>
      <c r="V24" t="s">
        <v>1728</v>
      </c>
      <c r="W24" t="s">
        <v>1708</v>
      </c>
      <c r="X24" t="s">
        <v>1745</v>
      </c>
      <c r="Y24" t="s">
        <v>1710</v>
      </c>
      <c r="Z24" t="s">
        <v>66</v>
      </c>
      <c r="AA24" t="s">
        <v>66</v>
      </c>
      <c r="AB24" t="s">
        <v>61</v>
      </c>
      <c r="AC24" t="s">
        <v>1514</v>
      </c>
      <c r="AD24">
        <v>0</v>
      </c>
      <c r="AE24">
        <v>3</v>
      </c>
      <c r="AF24" t="s">
        <v>61</v>
      </c>
      <c r="AG24" t="s">
        <v>1515</v>
      </c>
      <c r="AH24" t="s">
        <v>61</v>
      </c>
      <c r="AI24" t="s">
        <v>904</v>
      </c>
      <c r="AJ24" t="s">
        <v>61</v>
      </c>
      <c r="AK24" t="s">
        <v>66</v>
      </c>
      <c r="AL24" t="s">
        <v>61</v>
      </c>
      <c r="AM24" t="s">
        <v>66</v>
      </c>
      <c r="AN24">
        <v>1</v>
      </c>
      <c r="AO24" t="s">
        <v>61</v>
      </c>
      <c r="AP24" t="s">
        <v>1516</v>
      </c>
      <c r="AQ24" t="s">
        <v>1517</v>
      </c>
      <c r="AR24" t="s">
        <v>63</v>
      </c>
      <c r="AS24" t="s">
        <v>63</v>
      </c>
      <c r="AT24" t="s">
        <v>61</v>
      </c>
      <c r="AU24">
        <v>6</v>
      </c>
      <c r="AV24" t="s">
        <v>66</v>
      </c>
      <c r="AW24" t="s">
        <v>66</v>
      </c>
      <c r="AX24" t="s">
        <v>66</v>
      </c>
      <c r="AY24" t="s">
        <v>66</v>
      </c>
      <c r="AZ24" t="s">
        <v>66</v>
      </c>
      <c r="BA24" t="s">
        <v>66</v>
      </c>
      <c r="BB24">
        <v>180</v>
      </c>
      <c r="BC24" t="s">
        <v>70</v>
      </c>
      <c r="BD24" s="3" t="s">
        <v>225</v>
      </c>
      <c r="BE24" t="s">
        <v>1518</v>
      </c>
      <c r="BF24" t="s">
        <v>104</v>
      </c>
      <c r="BG24" t="s">
        <v>71</v>
      </c>
      <c r="BH24" t="s">
        <v>63</v>
      </c>
      <c r="BI24" t="s">
        <v>624</v>
      </c>
      <c r="BJ24" s="3" t="s">
        <v>225</v>
      </c>
      <c r="BK24" t="s">
        <v>1519</v>
      </c>
      <c r="BL24" t="s">
        <v>1520</v>
      </c>
      <c r="BM24" t="s">
        <v>882</v>
      </c>
      <c r="BN24" s="3" t="s">
        <v>467</v>
      </c>
      <c r="BO24" t="s">
        <v>436</v>
      </c>
      <c r="BP24" t="s">
        <v>1521</v>
      </c>
      <c r="BQ24" t="s">
        <v>970</v>
      </c>
      <c r="BR24" t="s">
        <v>1522</v>
      </c>
      <c r="BS24" t="s">
        <v>63</v>
      </c>
      <c r="BT24" t="s">
        <v>66</v>
      </c>
      <c r="BU24" t="s">
        <v>66</v>
      </c>
      <c r="BV24" t="s">
        <v>66</v>
      </c>
      <c r="BW24" t="s">
        <v>66</v>
      </c>
      <c r="BX24" t="s">
        <v>66</v>
      </c>
      <c r="BY24" t="s">
        <v>66</v>
      </c>
      <c r="BZ24" t="s">
        <v>66</v>
      </c>
      <c r="CA24" t="s">
        <v>66</v>
      </c>
      <c r="CB24" t="s">
        <v>66</v>
      </c>
      <c r="CC24" t="s">
        <v>66</v>
      </c>
      <c r="CD24" t="s">
        <v>66</v>
      </c>
      <c r="CE24" t="s">
        <v>66</v>
      </c>
      <c r="CF24" t="s">
        <v>66</v>
      </c>
      <c r="CG24" t="s">
        <v>66</v>
      </c>
      <c r="CH24" t="s">
        <v>66</v>
      </c>
      <c r="CI24" t="s">
        <v>63</v>
      </c>
      <c r="CJ24" s="3" t="s">
        <v>66</v>
      </c>
      <c r="CK24" s="3" t="s">
        <v>66</v>
      </c>
      <c r="CL24" s="3" t="s">
        <v>66</v>
      </c>
      <c r="CM24" s="3" t="s">
        <v>66</v>
      </c>
      <c r="CN24" s="3" t="s">
        <v>66</v>
      </c>
      <c r="CO24" s="3" t="s">
        <v>66</v>
      </c>
      <c r="CP24" s="3" t="s">
        <v>66</v>
      </c>
      <c r="CQ24" s="3" t="s">
        <v>66</v>
      </c>
      <c r="CR24" s="3" t="s">
        <v>66</v>
      </c>
      <c r="CS24" s="3" t="s">
        <v>66</v>
      </c>
      <c r="CT24" s="3" t="s">
        <v>66</v>
      </c>
      <c r="CU24" s="3" t="s">
        <v>66</v>
      </c>
      <c r="CV24" s="3" t="s">
        <v>1523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CE8A0-A6FB-4702-B19C-C7D2F78A33A1}">
  <dimension ref="A1:CV16"/>
  <sheetViews>
    <sheetView topLeftCell="BR1" zoomScaleNormal="100" workbookViewId="0">
      <selection activeCell="CB11" sqref="CB11"/>
    </sheetView>
  </sheetViews>
  <sheetFormatPr defaultRowHeight="15" x14ac:dyDescent="0.25"/>
  <cols>
    <col min="3" max="3" width="14.85546875" bestFit="1" customWidth="1"/>
    <col min="10" max="10" width="26.5703125" customWidth="1"/>
    <col min="11" max="11" width="17.28515625" bestFit="1" customWidth="1"/>
    <col min="12" max="12" width="5.28515625" bestFit="1" customWidth="1"/>
    <col min="13" max="13" width="4.85546875" bestFit="1" customWidth="1"/>
    <col min="18" max="18" width="15.7109375" bestFit="1" customWidth="1"/>
    <col min="21" max="21" width="10.28515625" bestFit="1" customWidth="1"/>
    <col min="22" max="27" width="13.7109375" customWidth="1"/>
    <col min="55" max="55" width="15.7109375" customWidth="1"/>
    <col min="58" max="58" width="20" customWidth="1"/>
    <col min="74" max="74" width="14.7109375" customWidth="1"/>
    <col min="75" max="75" width="9.7109375" customWidth="1"/>
  </cols>
  <sheetData>
    <row r="1" spans="1:100" x14ac:dyDescent="0.25">
      <c r="A1" t="s">
        <v>0</v>
      </c>
      <c r="B1" t="s">
        <v>1</v>
      </c>
      <c r="C1" t="s">
        <v>2</v>
      </c>
      <c r="D1" t="s">
        <v>3</v>
      </c>
      <c r="E1" t="s">
        <v>4</v>
      </c>
      <c r="F1" t="s">
        <v>12</v>
      </c>
      <c r="G1" t="s">
        <v>5</v>
      </c>
      <c r="H1" t="s">
        <v>58</v>
      </c>
      <c r="I1" t="s">
        <v>6</v>
      </c>
      <c r="J1" t="s">
        <v>122</v>
      </c>
      <c r="K1" t="s">
        <v>7</v>
      </c>
      <c r="L1" t="s">
        <v>847</v>
      </c>
      <c r="M1" t="s">
        <v>8</v>
      </c>
      <c r="N1" t="s">
        <v>9</v>
      </c>
      <c r="O1" t="s">
        <v>10</v>
      </c>
      <c r="P1" t="s">
        <v>11</v>
      </c>
      <c r="Q1" t="s">
        <v>121</v>
      </c>
      <c r="R1" t="s">
        <v>106</v>
      </c>
      <c r="S1" t="s">
        <v>13</v>
      </c>
      <c r="T1" t="s">
        <v>14</v>
      </c>
      <c r="U1" t="s">
        <v>1757</v>
      </c>
      <c r="V1" t="s">
        <v>1705</v>
      </c>
      <c r="W1" t="s">
        <v>1704</v>
      </c>
      <c r="X1" t="s">
        <v>1706</v>
      </c>
      <c r="Y1" t="s">
        <v>1707</v>
      </c>
      <c r="Z1" t="s">
        <v>1725</v>
      </c>
      <c r="AA1" t="s">
        <v>1726</v>
      </c>
      <c r="AB1" t="s">
        <v>15</v>
      </c>
      <c r="AC1" t="s">
        <v>16</v>
      </c>
      <c r="AD1" t="s">
        <v>17</v>
      </c>
      <c r="AE1" t="s">
        <v>18</v>
      </c>
      <c r="AF1" t="s">
        <v>91</v>
      </c>
      <c r="AG1" t="s">
        <v>19</v>
      </c>
      <c r="AH1" t="s">
        <v>92</v>
      </c>
      <c r="AI1" t="s">
        <v>20</v>
      </c>
      <c r="AJ1" t="s">
        <v>21</v>
      </c>
      <c r="AK1" t="s">
        <v>64</v>
      </c>
      <c r="AL1" t="s">
        <v>22</v>
      </c>
      <c r="AM1" t="s">
        <v>65</v>
      </c>
      <c r="AN1" t="s">
        <v>67</v>
      </c>
      <c r="AO1" t="s">
        <v>23</v>
      </c>
      <c r="AP1" s="20" t="s">
        <v>114</v>
      </c>
      <c r="AQ1" s="20" t="s">
        <v>112</v>
      </c>
      <c r="AR1" t="s">
        <v>111</v>
      </c>
      <c r="AS1" t="s">
        <v>110</v>
      </c>
      <c r="AT1" t="s">
        <v>109</v>
      </c>
      <c r="AU1" t="s">
        <v>113</v>
      </c>
      <c r="AV1" t="s">
        <v>115</v>
      </c>
      <c r="AW1" t="s">
        <v>116</v>
      </c>
      <c r="AX1" t="s">
        <v>117</v>
      </c>
      <c r="AY1" t="s">
        <v>118</v>
      </c>
      <c r="AZ1" t="s">
        <v>119</v>
      </c>
      <c r="BA1" t="s">
        <v>120</v>
      </c>
      <c r="BB1" t="s">
        <v>24</v>
      </c>
      <c r="BC1" t="s">
        <v>25</v>
      </c>
      <c r="BD1" t="s">
        <v>68</v>
      </c>
      <c r="BE1" t="s">
        <v>69</v>
      </c>
      <c r="BF1" t="s">
        <v>72</v>
      </c>
      <c r="BG1" t="s">
        <v>26</v>
      </c>
      <c r="BH1" t="s">
        <v>33</v>
      </c>
      <c r="BI1" t="s">
        <v>97</v>
      </c>
      <c r="BJ1" t="s">
        <v>30</v>
      </c>
      <c r="BK1" t="s">
        <v>27</v>
      </c>
      <c r="BL1" t="s">
        <v>34</v>
      </c>
      <c r="BM1" t="s">
        <v>35</v>
      </c>
      <c r="BN1" t="s">
        <v>36</v>
      </c>
      <c r="BO1" t="s">
        <v>74</v>
      </c>
      <c r="BP1" t="s">
        <v>75</v>
      </c>
      <c r="BQ1" t="s">
        <v>37</v>
      </c>
      <c r="BR1" t="s">
        <v>38</v>
      </c>
      <c r="BS1" t="s">
        <v>28</v>
      </c>
      <c r="BT1" t="s">
        <v>86</v>
      </c>
      <c r="BU1" t="s">
        <v>87</v>
      </c>
      <c r="BV1" t="s">
        <v>88</v>
      </c>
      <c r="BW1" t="s">
        <v>29</v>
      </c>
      <c r="BX1" t="s">
        <v>39</v>
      </c>
      <c r="BY1" t="s">
        <v>99</v>
      </c>
      <c r="BZ1" t="s">
        <v>31</v>
      </c>
      <c r="CA1" t="s">
        <v>32</v>
      </c>
      <c r="CB1" t="s">
        <v>40</v>
      </c>
      <c r="CC1" t="s">
        <v>41</v>
      </c>
      <c r="CD1" t="s">
        <v>42</v>
      </c>
      <c r="CE1" t="s">
        <v>81</v>
      </c>
      <c r="CF1" t="s">
        <v>82</v>
      </c>
      <c r="CG1" t="s">
        <v>43</v>
      </c>
      <c r="CH1" t="s">
        <v>44</v>
      </c>
      <c r="CI1" t="s">
        <v>46</v>
      </c>
      <c r="CJ1" t="s">
        <v>47</v>
      </c>
      <c r="CK1" t="s">
        <v>50</v>
      </c>
      <c r="CL1" t="s">
        <v>100</v>
      </c>
      <c r="CM1" t="s">
        <v>48</v>
      </c>
      <c r="CN1" t="s">
        <v>49</v>
      </c>
      <c r="CO1" t="s">
        <v>51</v>
      </c>
      <c r="CP1" t="s">
        <v>52</v>
      </c>
      <c r="CQ1" t="s">
        <v>53</v>
      </c>
      <c r="CR1" t="s">
        <v>54</v>
      </c>
      <c r="CS1" t="s">
        <v>55</v>
      </c>
      <c r="CT1" t="s">
        <v>56</v>
      </c>
      <c r="CU1" t="s">
        <v>57</v>
      </c>
      <c r="CV1" t="s">
        <v>45</v>
      </c>
    </row>
    <row r="2" spans="1:100" x14ac:dyDescent="0.25">
      <c r="A2" t="s">
        <v>1528</v>
      </c>
      <c r="B2" t="s">
        <v>769</v>
      </c>
      <c r="C2" s="1">
        <v>45825</v>
      </c>
      <c r="D2" t="s">
        <v>1529</v>
      </c>
      <c r="E2">
        <v>41928103</v>
      </c>
      <c r="F2">
        <v>30</v>
      </c>
      <c r="G2">
        <v>20</v>
      </c>
      <c r="H2" t="s">
        <v>851</v>
      </c>
      <c r="I2" t="s">
        <v>851</v>
      </c>
      <c r="J2" t="s">
        <v>1530</v>
      </c>
      <c r="K2" s="1">
        <v>30460</v>
      </c>
      <c r="L2" s="15">
        <f>DATEDIF(K2, DATE(2025,8,29), "Y")</f>
        <v>42</v>
      </c>
      <c r="M2" t="s">
        <v>59</v>
      </c>
      <c r="N2" t="s">
        <v>108</v>
      </c>
      <c r="O2" t="s">
        <v>60</v>
      </c>
      <c r="P2" t="s">
        <v>61</v>
      </c>
      <c r="Q2" t="s">
        <v>61</v>
      </c>
      <c r="R2" t="s">
        <v>426</v>
      </c>
      <c r="S2" t="s">
        <v>61</v>
      </c>
      <c r="T2" t="s">
        <v>1531</v>
      </c>
      <c r="U2" t="s">
        <v>61</v>
      </c>
      <c r="V2" t="s">
        <v>1543</v>
      </c>
      <c r="W2" t="s">
        <v>1722</v>
      </c>
      <c r="X2" t="s">
        <v>1730</v>
      </c>
      <c r="Y2" t="s">
        <v>1752</v>
      </c>
      <c r="Z2" t="s">
        <v>66</v>
      </c>
      <c r="AA2" t="s">
        <v>66</v>
      </c>
      <c r="AB2" t="s">
        <v>61</v>
      </c>
      <c r="AC2" t="s">
        <v>1532</v>
      </c>
      <c r="AD2">
        <v>3</v>
      </c>
      <c r="AE2">
        <v>3</v>
      </c>
      <c r="AF2" t="s">
        <v>61</v>
      </c>
      <c r="AG2" t="s">
        <v>1533</v>
      </c>
      <c r="AH2" t="s">
        <v>63</v>
      </c>
      <c r="AI2" t="s">
        <v>66</v>
      </c>
      <c r="AJ2" t="s">
        <v>61</v>
      </c>
      <c r="AK2" t="s">
        <v>66</v>
      </c>
      <c r="AL2" t="s">
        <v>61</v>
      </c>
      <c r="AM2" t="s">
        <v>66</v>
      </c>
      <c r="AN2">
        <v>0</v>
      </c>
      <c r="AO2" t="s">
        <v>66</v>
      </c>
      <c r="AP2" t="s">
        <v>1534</v>
      </c>
      <c r="AQ2" t="s">
        <v>93</v>
      </c>
      <c r="AR2" t="s">
        <v>63</v>
      </c>
      <c r="AS2" t="s">
        <v>63</v>
      </c>
      <c r="AT2" t="s">
        <v>61</v>
      </c>
      <c r="AU2">
        <v>6</v>
      </c>
      <c r="AV2" t="s">
        <v>66</v>
      </c>
      <c r="AW2" t="s">
        <v>66</v>
      </c>
      <c r="AX2" t="s">
        <v>66</v>
      </c>
      <c r="AY2" t="s">
        <v>66</v>
      </c>
      <c r="AZ2" t="s">
        <v>66</v>
      </c>
      <c r="BA2" t="s">
        <v>66</v>
      </c>
      <c r="BB2">
        <v>136</v>
      </c>
      <c r="BC2" t="s">
        <v>70</v>
      </c>
      <c r="BD2">
        <v>3</v>
      </c>
      <c r="BE2" t="s">
        <v>1000</v>
      </c>
      <c r="BF2" t="s">
        <v>104</v>
      </c>
      <c r="BG2" t="s">
        <v>71</v>
      </c>
      <c r="BH2" t="s">
        <v>63</v>
      </c>
      <c r="BI2" t="s">
        <v>624</v>
      </c>
      <c r="BJ2">
        <v>8</v>
      </c>
      <c r="BK2" t="s">
        <v>870</v>
      </c>
      <c r="BL2" s="3" t="s">
        <v>1535</v>
      </c>
      <c r="BM2" t="s">
        <v>882</v>
      </c>
      <c r="BN2" s="3" t="s">
        <v>142</v>
      </c>
      <c r="BO2" t="s">
        <v>358</v>
      </c>
      <c r="BP2" s="3" t="s">
        <v>1536</v>
      </c>
      <c r="BQ2" t="s">
        <v>78</v>
      </c>
      <c r="BR2" s="3" t="s">
        <v>93</v>
      </c>
      <c r="BS2" t="s">
        <v>66</v>
      </c>
      <c r="BT2" s="3" t="s">
        <v>66</v>
      </c>
      <c r="BU2" s="3" t="s">
        <v>66</v>
      </c>
      <c r="BV2" s="3" t="s">
        <v>66</v>
      </c>
      <c r="BW2" s="3" t="s">
        <v>66</v>
      </c>
      <c r="BX2" s="3" t="s">
        <v>66</v>
      </c>
      <c r="BY2" s="3" t="s">
        <v>66</v>
      </c>
      <c r="BZ2" s="3" t="s">
        <v>66</v>
      </c>
      <c r="CA2" s="3" t="s">
        <v>66</v>
      </c>
      <c r="CB2" s="3" t="s">
        <v>66</v>
      </c>
      <c r="CC2" s="3" t="s">
        <v>66</v>
      </c>
      <c r="CD2" s="3" t="s">
        <v>66</v>
      </c>
      <c r="CE2" s="3" t="s">
        <v>66</v>
      </c>
      <c r="CF2" s="3" t="s">
        <v>66</v>
      </c>
      <c r="CG2" s="3" t="s">
        <v>66</v>
      </c>
      <c r="CH2" s="3" t="s">
        <v>66</v>
      </c>
      <c r="CI2" t="s">
        <v>66</v>
      </c>
      <c r="CJ2" t="s">
        <v>66</v>
      </c>
      <c r="CK2" s="3" t="s">
        <v>66</v>
      </c>
      <c r="CL2" s="3" t="s">
        <v>66</v>
      </c>
      <c r="CM2" s="3" t="s">
        <v>66</v>
      </c>
      <c r="CN2" s="3" t="s">
        <v>66</v>
      </c>
      <c r="CO2" s="3" t="s">
        <v>66</v>
      </c>
      <c r="CP2" s="3" t="s">
        <v>66</v>
      </c>
      <c r="CQ2" s="3" t="s">
        <v>66</v>
      </c>
      <c r="CR2" s="3" t="s">
        <v>66</v>
      </c>
      <c r="CS2" s="3" t="s">
        <v>66</v>
      </c>
      <c r="CT2" s="3" t="s">
        <v>66</v>
      </c>
      <c r="CU2" s="3" t="s">
        <v>66</v>
      </c>
      <c r="CV2" s="3" t="s">
        <v>1537</v>
      </c>
    </row>
    <row r="3" spans="1:100" x14ac:dyDescent="0.25">
      <c r="A3" t="s">
        <v>1538</v>
      </c>
      <c r="B3" t="s">
        <v>769</v>
      </c>
      <c r="C3" s="1">
        <v>45825</v>
      </c>
      <c r="D3" t="s">
        <v>1539</v>
      </c>
      <c r="E3" s="10" t="s">
        <v>1540</v>
      </c>
      <c r="F3">
        <v>22</v>
      </c>
      <c r="G3">
        <v>22</v>
      </c>
      <c r="H3" t="s">
        <v>851</v>
      </c>
      <c r="I3" t="s">
        <v>851</v>
      </c>
      <c r="J3" t="s">
        <v>851</v>
      </c>
      <c r="K3" s="1">
        <v>28485</v>
      </c>
      <c r="L3" s="15">
        <f t="shared" ref="L3:L16" si="0">DATEDIF(K3, DATE(2025,8,29), "Y")</f>
        <v>47</v>
      </c>
      <c r="M3" t="s">
        <v>59</v>
      </c>
      <c r="N3" t="s">
        <v>108</v>
      </c>
      <c r="O3" t="s">
        <v>60</v>
      </c>
      <c r="P3" t="s">
        <v>61</v>
      </c>
      <c r="Q3" t="s">
        <v>61</v>
      </c>
      <c r="R3" t="s">
        <v>129</v>
      </c>
      <c r="S3" t="s">
        <v>61</v>
      </c>
      <c r="T3" t="s">
        <v>1541</v>
      </c>
      <c r="U3" t="s">
        <v>61</v>
      </c>
      <c r="V3" t="s">
        <v>1543</v>
      </c>
      <c r="W3" t="s">
        <v>1722</v>
      </c>
      <c r="X3" t="s">
        <v>1335</v>
      </c>
      <c r="Y3" t="s">
        <v>1753</v>
      </c>
      <c r="Z3" t="s">
        <v>66</v>
      </c>
      <c r="AA3" t="s">
        <v>66</v>
      </c>
      <c r="AB3" t="s">
        <v>61</v>
      </c>
      <c r="AC3" t="s">
        <v>1542</v>
      </c>
      <c r="AD3">
        <v>2</v>
      </c>
      <c r="AE3">
        <v>2</v>
      </c>
      <c r="AF3" t="s">
        <v>61</v>
      </c>
      <c r="AG3" t="s">
        <v>1543</v>
      </c>
      <c r="AH3" t="s">
        <v>61</v>
      </c>
      <c r="AI3" t="s">
        <v>1544</v>
      </c>
      <c r="AJ3" t="s">
        <v>61</v>
      </c>
      <c r="AK3" t="s">
        <v>66</v>
      </c>
      <c r="AL3" t="s">
        <v>61</v>
      </c>
      <c r="AM3" t="s">
        <v>66</v>
      </c>
      <c r="AN3">
        <v>0</v>
      </c>
      <c r="AO3" t="s">
        <v>66</v>
      </c>
      <c r="AP3" t="s">
        <v>1545</v>
      </c>
      <c r="AQ3" t="s">
        <v>93</v>
      </c>
      <c r="AR3" t="s">
        <v>63</v>
      </c>
      <c r="AS3" t="s">
        <v>63</v>
      </c>
      <c r="AT3" t="s">
        <v>61</v>
      </c>
      <c r="AU3">
        <v>10</v>
      </c>
      <c r="AV3" t="s">
        <v>66</v>
      </c>
      <c r="AW3" t="s">
        <v>66</v>
      </c>
      <c r="AX3" t="s">
        <v>66</v>
      </c>
      <c r="AY3" t="s">
        <v>66</v>
      </c>
      <c r="AZ3" t="s">
        <v>66</v>
      </c>
      <c r="BA3" t="s">
        <v>66</v>
      </c>
      <c r="BB3" t="s">
        <v>218</v>
      </c>
      <c r="BC3" t="s">
        <v>70</v>
      </c>
      <c r="BD3">
        <v>3</v>
      </c>
      <c r="BE3" t="s">
        <v>175</v>
      </c>
      <c r="BF3" t="s">
        <v>104</v>
      </c>
      <c r="BG3" t="s">
        <v>71</v>
      </c>
      <c r="BH3" t="s">
        <v>63</v>
      </c>
      <c r="BI3" t="s">
        <v>254</v>
      </c>
      <c r="BJ3">
        <v>3</v>
      </c>
      <c r="BK3" t="s">
        <v>1546</v>
      </c>
      <c r="BL3" t="s">
        <v>227</v>
      </c>
      <c r="BM3" t="s">
        <v>1547</v>
      </c>
      <c r="BN3" s="3" t="s">
        <v>1535</v>
      </c>
      <c r="BO3" t="s">
        <v>861</v>
      </c>
      <c r="BP3" t="s">
        <v>1548</v>
      </c>
      <c r="BQ3" t="s">
        <v>78</v>
      </c>
      <c r="BR3" t="s">
        <v>1549</v>
      </c>
      <c r="BS3" t="s">
        <v>950</v>
      </c>
      <c r="BT3">
        <v>4</v>
      </c>
      <c r="BU3" t="s">
        <v>175</v>
      </c>
      <c r="BV3" t="s">
        <v>104</v>
      </c>
      <c r="BW3" t="s">
        <v>79</v>
      </c>
      <c r="BX3" t="s">
        <v>1550</v>
      </c>
      <c r="BY3" t="s">
        <v>462</v>
      </c>
      <c r="BZ3">
        <v>3</v>
      </c>
      <c r="CA3" t="s">
        <v>1551</v>
      </c>
      <c r="CB3" s="3" t="s">
        <v>468</v>
      </c>
      <c r="CC3" s="3" t="s">
        <v>487</v>
      </c>
      <c r="CD3" s="3" t="s">
        <v>84</v>
      </c>
      <c r="CE3" s="3" t="s">
        <v>345</v>
      </c>
      <c r="CF3">
        <v>2500</v>
      </c>
      <c r="CG3" s="3" t="s">
        <v>78</v>
      </c>
      <c r="CH3">
        <v>10</v>
      </c>
      <c r="CI3" s="3" t="s">
        <v>894</v>
      </c>
      <c r="CJ3" t="s">
        <v>163</v>
      </c>
      <c r="CK3" s="3" t="s">
        <v>63</v>
      </c>
      <c r="CL3" t="s">
        <v>1552</v>
      </c>
      <c r="CM3" s="3" t="s">
        <v>142</v>
      </c>
      <c r="CN3" t="s">
        <v>66</v>
      </c>
      <c r="CO3" s="3" t="s">
        <v>467</v>
      </c>
      <c r="CP3" s="3" t="s">
        <v>66</v>
      </c>
      <c r="CQ3" s="3" t="s">
        <v>66</v>
      </c>
      <c r="CR3" s="3" t="s">
        <v>66</v>
      </c>
      <c r="CS3" s="3" t="s">
        <v>802</v>
      </c>
      <c r="CT3" s="3" t="s">
        <v>78</v>
      </c>
      <c r="CU3" s="3" t="s">
        <v>1553</v>
      </c>
      <c r="CV3" s="3" t="s">
        <v>1554</v>
      </c>
    </row>
    <row r="4" spans="1:100" x14ac:dyDescent="0.25">
      <c r="A4" t="s">
        <v>1555</v>
      </c>
      <c r="B4" t="s">
        <v>769</v>
      </c>
      <c r="C4" s="1">
        <v>45826</v>
      </c>
      <c r="D4" t="s">
        <v>1556</v>
      </c>
      <c r="E4">
        <v>10455364</v>
      </c>
      <c r="F4">
        <v>10</v>
      </c>
      <c r="G4">
        <v>2</v>
      </c>
      <c r="H4" t="s">
        <v>851</v>
      </c>
      <c r="I4" t="s">
        <v>851</v>
      </c>
      <c r="J4" t="s">
        <v>851</v>
      </c>
      <c r="K4" s="1">
        <v>26526</v>
      </c>
      <c r="L4" s="15">
        <f t="shared" si="0"/>
        <v>53</v>
      </c>
      <c r="M4" t="s">
        <v>59</v>
      </c>
      <c r="N4" t="s">
        <v>108</v>
      </c>
      <c r="O4" t="s">
        <v>90</v>
      </c>
      <c r="P4" t="s">
        <v>61</v>
      </c>
      <c r="Q4" t="s">
        <v>63</v>
      </c>
      <c r="R4" t="s">
        <v>426</v>
      </c>
      <c r="S4" t="s">
        <v>61</v>
      </c>
      <c r="T4" t="s">
        <v>1557</v>
      </c>
      <c r="U4" t="s">
        <v>61</v>
      </c>
      <c r="V4" t="s">
        <v>1754</v>
      </c>
      <c r="W4" t="s">
        <v>1739</v>
      </c>
      <c r="X4" t="s">
        <v>1728</v>
      </c>
      <c r="Y4" t="s">
        <v>1708</v>
      </c>
      <c r="Z4" t="s">
        <v>66</v>
      </c>
      <c r="AA4" t="s">
        <v>66</v>
      </c>
      <c r="AB4" t="s">
        <v>63</v>
      </c>
      <c r="AC4" t="s">
        <v>66</v>
      </c>
      <c r="AD4">
        <v>1</v>
      </c>
      <c r="AE4">
        <v>3</v>
      </c>
      <c r="AF4" t="s">
        <v>61</v>
      </c>
      <c r="AG4" t="s">
        <v>1558</v>
      </c>
      <c r="AH4" t="s">
        <v>61</v>
      </c>
      <c r="AI4" t="s">
        <v>1544</v>
      </c>
      <c r="AJ4" t="s">
        <v>61</v>
      </c>
      <c r="AK4" t="s">
        <v>66</v>
      </c>
      <c r="AL4" t="s">
        <v>61</v>
      </c>
      <c r="AM4" t="s">
        <v>66</v>
      </c>
      <c r="AN4">
        <v>0</v>
      </c>
      <c r="AO4" t="s">
        <v>66</v>
      </c>
      <c r="AP4" t="s">
        <v>1559</v>
      </c>
      <c r="AQ4" t="s">
        <v>1560</v>
      </c>
      <c r="AR4" t="s">
        <v>63</v>
      </c>
      <c r="AS4" t="s">
        <v>63</v>
      </c>
      <c r="AT4" t="s">
        <v>61</v>
      </c>
      <c r="AU4">
        <v>12</v>
      </c>
      <c r="AV4" t="s">
        <v>66</v>
      </c>
      <c r="AW4" t="s">
        <v>66</v>
      </c>
      <c r="AX4" t="s">
        <v>66</v>
      </c>
      <c r="AY4" t="s">
        <v>66</v>
      </c>
      <c r="AZ4" t="s">
        <v>66</v>
      </c>
      <c r="BA4" t="s">
        <v>66</v>
      </c>
      <c r="BB4" t="s">
        <v>1561</v>
      </c>
      <c r="BC4" t="s">
        <v>70</v>
      </c>
      <c r="BD4" s="3" t="s">
        <v>225</v>
      </c>
      <c r="BE4" t="s">
        <v>1562</v>
      </c>
      <c r="BF4" t="s">
        <v>881</v>
      </c>
      <c r="BG4" t="s">
        <v>71</v>
      </c>
      <c r="BH4" t="s">
        <v>63</v>
      </c>
      <c r="BI4" t="s">
        <v>257</v>
      </c>
      <c r="BJ4">
        <v>4</v>
      </c>
      <c r="BK4" t="s">
        <v>1563</v>
      </c>
      <c r="BL4" t="s">
        <v>342</v>
      </c>
      <c r="BM4" t="s">
        <v>272</v>
      </c>
      <c r="BN4">
        <v>6</v>
      </c>
      <c r="BO4" t="s">
        <v>891</v>
      </c>
      <c r="BP4" t="s">
        <v>514</v>
      </c>
      <c r="BQ4" t="s">
        <v>78</v>
      </c>
      <c r="BR4" t="s">
        <v>1113</v>
      </c>
      <c r="BS4" t="s">
        <v>66</v>
      </c>
      <c r="BT4" t="s">
        <v>66</v>
      </c>
      <c r="BU4" t="s">
        <v>66</v>
      </c>
      <c r="BV4" t="s">
        <v>66</v>
      </c>
      <c r="BW4" t="s">
        <v>66</v>
      </c>
      <c r="BX4" t="s">
        <v>66</v>
      </c>
      <c r="BY4" t="s">
        <v>66</v>
      </c>
      <c r="BZ4" t="s">
        <v>66</v>
      </c>
      <c r="CA4" t="s">
        <v>66</v>
      </c>
      <c r="CB4" t="s">
        <v>66</v>
      </c>
      <c r="CC4" t="s">
        <v>66</v>
      </c>
      <c r="CD4" t="s">
        <v>66</v>
      </c>
      <c r="CE4" t="s">
        <v>66</v>
      </c>
      <c r="CF4" t="s">
        <v>66</v>
      </c>
      <c r="CG4" t="s">
        <v>66</v>
      </c>
      <c r="CH4" t="s">
        <v>66</v>
      </c>
      <c r="CI4" t="s">
        <v>66</v>
      </c>
      <c r="CJ4" t="s">
        <v>66</v>
      </c>
      <c r="CK4" t="s">
        <v>66</v>
      </c>
      <c r="CL4" t="s">
        <v>66</v>
      </c>
      <c r="CM4" t="s">
        <v>66</v>
      </c>
      <c r="CN4" t="s">
        <v>66</v>
      </c>
      <c r="CO4" t="s">
        <v>66</v>
      </c>
      <c r="CP4" t="s">
        <v>66</v>
      </c>
      <c r="CQ4" t="s">
        <v>66</v>
      </c>
      <c r="CR4" t="s">
        <v>66</v>
      </c>
      <c r="CS4" t="s">
        <v>66</v>
      </c>
      <c r="CT4" t="s">
        <v>66</v>
      </c>
      <c r="CU4" t="s">
        <v>66</v>
      </c>
      <c r="CV4" t="s">
        <v>1564</v>
      </c>
    </row>
    <row r="5" spans="1:100" x14ac:dyDescent="0.25">
      <c r="A5" t="s">
        <v>1565</v>
      </c>
      <c r="B5" t="s">
        <v>769</v>
      </c>
      <c r="C5" s="1">
        <v>45826</v>
      </c>
      <c r="D5" t="s">
        <v>1566</v>
      </c>
      <c r="E5">
        <v>80281933</v>
      </c>
      <c r="F5">
        <v>30</v>
      </c>
      <c r="G5">
        <v>30</v>
      </c>
      <c r="H5" t="s">
        <v>851</v>
      </c>
      <c r="I5" t="s">
        <v>851</v>
      </c>
      <c r="J5" t="s">
        <v>1567</v>
      </c>
      <c r="K5" s="1">
        <v>23283</v>
      </c>
      <c r="L5" s="15">
        <f t="shared" si="0"/>
        <v>61</v>
      </c>
      <c r="M5" t="s">
        <v>59</v>
      </c>
      <c r="N5" t="s">
        <v>321</v>
      </c>
      <c r="O5" t="s">
        <v>322</v>
      </c>
      <c r="P5" t="s">
        <v>61</v>
      </c>
      <c r="Q5" t="s">
        <v>61</v>
      </c>
      <c r="R5" t="s">
        <v>62</v>
      </c>
      <c r="S5" t="s">
        <v>61</v>
      </c>
      <c r="T5" t="s">
        <v>1568</v>
      </c>
      <c r="U5" t="s">
        <v>61</v>
      </c>
      <c r="V5" t="s">
        <v>1754</v>
      </c>
      <c r="W5" t="s">
        <v>1739</v>
      </c>
      <c r="X5" t="s">
        <v>66</v>
      </c>
      <c r="Y5" t="s">
        <v>66</v>
      </c>
      <c r="Z5" t="s">
        <v>66</v>
      </c>
      <c r="AA5" t="s">
        <v>66</v>
      </c>
      <c r="AB5" t="s">
        <v>63</v>
      </c>
      <c r="AC5" t="s">
        <v>66</v>
      </c>
      <c r="AD5">
        <v>1</v>
      </c>
      <c r="AE5">
        <v>4</v>
      </c>
      <c r="AF5" t="s">
        <v>63</v>
      </c>
      <c r="AG5" t="s">
        <v>66</v>
      </c>
      <c r="AH5" t="s">
        <v>61</v>
      </c>
      <c r="AI5" t="s">
        <v>1569</v>
      </c>
      <c r="AJ5" t="s">
        <v>61</v>
      </c>
      <c r="AK5" t="s">
        <v>66</v>
      </c>
      <c r="AL5" t="s">
        <v>61</v>
      </c>
      <c r="AM5" t="s">
        <v>66</v>
      </c>
      <c r="AN5">
        <v>1</v>
      </c>
      <c r="AO5" t="s">
        <v>61</v>
      </c>
      <c r="AP5" t="s">
        <v>1570</v>
      </c>
      <c r="AQ5" t="s">
        <v>1571</v>
      </c>
      <c r="AR5" t="s">
        <v>63</v>
      </c>
      <c r="AS5" t="s">
        <v>63</v>
      </c>
      <c r="AT5" t="s">
        <v>61</v>
      </c>
      <c r="AU5">
        <v>6</v>
      </c>
      <c r="AV5" t="s">
        <v>66</v>
      </c>
      <c r="AW5" t="s">
        <v>66</v>
      </c>
      <c r="AX5" t="s">
        <v>66</v>
      </c>
      <c r="AY5" t="s">
        <v>66</v>
      </c>
      <c r="AZ5" t="s">
        <v>66</v>
      </c>
      <c r="BA5" t="s">
        <v>66</v>
      </c>
      <c r="BB5" t="s">
        <v>1572</v>
      </c>
      <c r="BC5" t="s">
        <v>70</v>
      </c>
      <c r="BD5">
        <v>3</v>
      </c>
      <c r="BE5" t="s">
        <v>1448</v>
      </c>
      <c r="BF5" t="s">
        <v>104</v>
      </c>
      <c r="BG5" t="s">
        <v>71</v>
      </c>
      <c r="BH5" t="s">
        <v>63</v>
      </c>
      <c r="BI5" t="s">
        <v>174</v>
      </c>
      <c r="BJ5" s="3" t="s">
        <v>225</v>
      </c>
      <c r="BK5" t="s">
        <v>1414</v>
      </c>
      <c r="BL5" t="s">
        <v>1102</v>
      </c>
      <c r="BM5">
        <v>72</v>
      </c>
      <c r="BN5" s="3" t="s">
        <v>408</v>
      </c>
      <c r="BO5" t="s">
        <v>228</v>
      </c>
      <c r="BP5" t="s">
        <v>1573</v>
      </c>
      <c r="BQ5" t="s">
        <v>78</v>
      </c>
      <c r="BR5" t="s">
        <v>884</v>
      </c>
      <c r="BS5" t="s">
        <v>950</v>
      </c>
      <c r="BT5">
        <v>4</v>
      </c>
      <c r="BU5" t="s">
        <v>1448</v>
      </c>
      <c r="BV5" t="s">
        <v>881</v>
      </c>
      <c r="BW5" t="s">
        <v>79</v>
      </c>
      <c r="BX5" t="s">
        <v>1081</v>
      </c>
      <c r="BY5" t="s">
        <v>462</v>
      </c>
      <c r="BZ5">
        <v>6</v>
      </c>
      <c r="CA5" t="s">
        <v>1574</v>
      </c>
      <c r="CB5" s="3" t="s">
        <v>1575</v>
      </c>
      <c r="CC5" s="3" t="s">
        <v>142</v>
      </c>
      <c r="CD5" s="3" t="s">
        <v>142</v>
      </c>
      <c r="CE5" t="s">
        <v>94</v>
      </c>
      <c r="CF5" s="3" t="s">
        <v>343</v>
      </c>
      <c r="CG5" s="3" t="s">
        <v>78</v>
      </c>
      <c r="CH5" s="3" t="s">
        <v>488</v>
      </c>
      <c r="CI5" s="3" t="s">
        <v>894</v>
      </c>
      <c r="CJ5" s="3" t="s">
        <v>163</v>
      </c>
      <c r="CK5" s="21" t="s">
        <v>63</v>
      </c>
      <c r="CL5" s="3" t="s">
        <v>895</v>
      </c>
      <c r="CM5" s="3" t="s">
        <v>928</v>
      </c>
      <c r="CN5" s="3" t="s">
        <v>66</v>
      </c>
      <c r="CO5" s="3" t="s">
        <v>222</v>
      </c>
      <c r="CP5" s="3" t="s">
        <v>66</v>
      </c>
      <c r="CQ5" s="3" t="s">
        <v>66</v>
      </c>
      <c r="CR5" s="3" t="s">
        <v>66</v>
      </c>
      <c r="CS5" s="3" t="s">
        <v>140</v>
      </c>
      <c r="CT5" s="3" t="s">
        <v>78</v>
      </c>
      <c r="CU5">
        <v>6</v>
      </c>
      <c r="CV5" s="3" t="s">
        <v>1576</v>
      </c>
    </row>
    <row r="6" spans="1:100" x14ac:dyDescent="0.25">
      <c r="A6" t="s">
        <v>1577</v>
      </c>
      <c r="B6" t="s">
        <v>769</v>
      </c>
      <c r="C6" s="1">
        <v>45826</v>
      </c>
      <c r="D6" t="s">
        <v>1578</v>
      </c>
      <c r="E6">
        <v>80276520</v>
      </c>
      <c r="F6">
        <v>13</v>
      </c>
      <c r="G6">
        <v>4</v>
      </c>
      <c r="H6" t="s">
        <v>851</v>
      </c>
      <c r="I6" t="s">
        <v>851</v>
      </c>
      <c r="J6" t="s">
        <v>1579</v>
      </c>
      <c r="K6" s="1">
        <v>26836</v>
      </c>
      <c r="L6" s="15">
        <f t="shared" si="0"/>
        <v>52</v>
      </c>
      <c r="M6" t="s">
        <v>399</v>
      </c>
      <c r="N6" t="s">
        <v>108</v>
      </c>
      <c r="O6" t="s">
        <v>322</v>
      </c>
      <c r="P6" t="s">
        <v>61</v>
      </c>
      <c r="Q6" t="s">
        <v>61</v>
      </c>
      <c r="R6" t="s">
        <v>426</v>
      </c>
      <c r="S6" t="s">
        <v>63</v>
      </c>
      <c r="T6" t="s">
        <v>66</v>
      </c>
      <c r="U6" t="s">
        <v>61</v>
      </c>
      <c r="V6" t="s">
        <v>1745</v>
      </c>
      <c r="W6" t="s">
        <v>1710</v>
      </c>
      <c r="X6" t="s">
        <v>1728</v>
      </c>
      <c r="Y6" t="s">
        <v>1081</v>
      </c>
      <c r="Z6" t="s">
        <v>66</v>
      </c>
      <c r="AA6" t="s">
        <v>66</v>
      </c>
      <c r="AB6" t="s">
        <v>61</v>
      </c>
      <c r="AC6" t="s">
        <v>132</v>
      </c>
      <c r="AD6">
        <v>2</v>
      </c>
      <c r="AE6">
        <v>5</v>
      </c>
      <c r="AF6" t="s">
        <v>61</v>
      </c>
      <c r="AG6" t="s">
        <v>1580</v>
      </c>
      <c r="AH6" t="s">
        <v>61</v>
      </c>
      <c r="AI6" t="s">
        <v>1581</v>
      </c>
      <c r="AJ6" t="s">
        <v>61</v>
      </c>
      <c r="AK6" t="s">
        <v>1582</v>
      </c>
      <c r="AL6" t="s">
        <v>61</v>
      </c>
      <c r="AM6" t="s">
        <v>66</v>
      </c>
      <c r="AN6">
        <v>0</v>
      </c>
      <c r="AO6" t="s">
        <v>66</v>
      </c>
      <c r="AP6" t="s">
        <v>1583</v>
      </c>
      <c r="AQ6" t="s">
        <v>1584</v>
      </c>
      <c r="AR6" t="s">
        <v>63</v>
      </c>
      <c r="AS6" t="s">
        <v>63</v>
      </c>
      <c r="AT6" t="s">
        <v>61</v>
      </c>
      <c r="AU6">
        <v>6</v>
      </c>
      <c r="AV6" t="s">
        <v>66</v>
      </c>
      <c r="AW6" t="s">
        <v>66</v>
      </c>
      <c r="AX6" t="s">
        <v>66</v>
      </c>
      <c r="AY6" t="s">
        <v>66</v>
      </c>
      <c r="AZ6" t="s">
        <v>66</v>
      </c>
      <c r="BA6" t="s">
        <v>66</v>
      </c>
      <c r="BB6">
        <f>15*17</f>
        <v>255</v>
      </c>
      <c r="BC6" t="s">
        <v>70</v>
      </c>
      <c r="BD6">
        <v>3</v>
      </c>
      <c r="BE6" t="s">
        <v>1585</v>
      </c>
      <c r="BF6" t="s">
        <v>104</v>
      </c>
      <c r="BG6" t="s">
        <v>71</v>
      </c>
      <c r="BH6" t="s">
        <v>63</v>
      </c>
      <c r="BI6" t="s">
        <v>554</v>
      </c>
      <c r="BJ6">
        <v>3</v>
      </c>
      <c r="BK6" t="s">
        <v>1586</v>
      </c>
      <c r="BL6">
        <v>30</v>
      </c>
      <c r="BM6">
        <v>48</v>
      </c>
      <c r="BN6" s="3" t="s">
        <v>222</v>
      </c>
      <c r="BO6" t="s">
        <v>1587</v>
      </c>
      <c r="BP6">
        <v>1500</v>
      </c>
      <c r="BQ6" t="s">
        <v>78</v>
      </c>
      <c r="BR6" t="s">
        <v>1588</v>
      </c>
      <c r="BS6" t="s">
        <v>66</v>
      </c>
      <c r="BT6" t="s">
        <v>66</v>
      </c>
      <c r="BU6" t="s">
        <v>66</v>
      </c>
      <c r="BV6" t="s">
        <v>66</v>
      </c>
      <c r="BW6" t="s">
        <v>66</v>
      </c>
      <c r="BX6" t="s">
        <v>66</v>
      </c>
      <c r="BY6" t="s">
        <v>66</v>
      </c>
      <c r="BZ6" t="s">
        <v>66</v>
      </c>
      <c r="CA6" t="s">
        <v>66</v>
      </c>
      <c r="CB6" t="s">
        <v>66</v>
      </c>
      <c r="CC6" t="s">
        <v>66</v>
      </c>
      <c r="CD6" t="s">
        <v>66</v>
      </c>
      <c r="CE6" t="s">
        <v>66</v>
      </c>
      <c r="CF6" t="s">
        <v>66</v>
      </c>
      <c r="CG6" t="s">
        <v>66</v>
      </c>
      <c r="CH6" t="s">
        <v>66</v>
      </c>
      <c r="CI6" t="s">
        <v>66</v>
      </c>
      <c r="CJ6" t="s">
        <v>66</v>
      </c>
      <c r="CK6" t="s">
        <v>66</v>
      </c>
      <c r="CL6" t="s">
        <v>66</v>
      </c>
      <c r="CM6" t="s">
        <v>66</v>
      </c>
      <c r="CN6" t="s">
        <v>66</v>
      </c>
      <c r="CO6" t="s">
        <v>66</v>
      </c>
      <c r="CP6" t="s">
        <v>66</v>
      </c>
      <c r="CQ6" t="s">
        <v>66</v>
      </c>
      <c r="CR6" t="s">
        <v>66</v>
      </c>
      <c r="CS6" t="s">
        <v>66</v>
      </c>
      <c r="CT6" t="s">
        <v>66</v>
      </c>
      <c r="CU6" t="s">
        <v>66</v>
      </c>
      <c r="CV6" t="s">
        <v>1589</v>
      </c>
    </row>
    <row r="7" spans="1:100" x14ac:dyDescent="0.25">
      <c r="A7" t="s">
        <v>1590</v>
      </c>
      <c r="B7" t="s">
        <v>769</v>
      </c>
      <c r="C7" s="1">
        <v>45826</v>
      </c>
      <c r="D7" t="s">
        <v>1591</v>
      </c>
      <c r="E7">
        <v>41485241</v>
      </c>
      <c r="F7">
        <v>28</v>
      </c>
      <c r="G7">
        <v>17</v>
      </c>
      <c r="H7" t="s">
        <v>851</v>
      </c>
      <c r="I7" t="s">
        <v>851</v>
      </c>
      <c r="J7" t="s">
        <v>851</v>
      </c>
      <c r="K7" s="1">
        <v>30029</v>
      </c>
      <c r="L7" s="15">
        <f t="shared" si="0"/>
        <v>43</v>
      </c>
      <c r="M7" t="s">
        <v>59</v>
      </c>
      <c r="N7" t="s">
        <v>108</v>
      </c>
      <c r="O7" t="s">
        <v>60</v>
      </c>
      <c r="P7" t="s">
        <v>61</v>
      </c>
      <c r="Q7" t="s">
        <v>61</v>
      </c>
      <c r="R7" t="s">
        <v>62</v>
      </c>
      <c r="S7" t="s">
        <v>61</v>
      </c>
      <c r="T7" t="s">
        <v>1531</v>
      </c>
      <c r="U7" t="s">
        <v>61</v>
      </c>
      <c r="V7" t="s">
        <v>1543</v>
      </c>
      <c r="W7" t="s">
        <v>1722</v>
      </c>
      <c r="X7" t="s">
        <v>66</v>
      </c>
      <c r="Y7" t="s">
        <v>66</v>
      </c>
      <c r="Z7" t="s">
        <v>66</v>
      </c>
      <c r="AA7" t="s">
        <v>66</v>
      </c>
      <c r="AB7" t="s">
        <v>63</v>
      </c>
      <c r="AC7" t="s">
        <v>66</v>
      </c>
      <c r="AD7">
        <v>1</v>
      </c>
      <c r="AE7">
        <v>1</v>
      </c>
      <c r="AF7" t="s">
        <v>61</v>
      </c>
      <c r="AG7" t="s">
        <v>1592</v>
      </c>
      <c r="AH7" t="s">
        <v>61</v>
      </c>
      <c r="AI7" t="s">
        <v>1593</v>
      </c>
      <c r="AJ7" t="s">
        <v>61</v>
      </c>
      <c r="AK7" t="s">
        <v>66</v>
      </c>
      <c r="AL7" t="s">
        <v>61</v>
      </c>
      <c r="AM7" t="s">
        <v>66</v>
      </c>
      <c r="AN7">
        <v>1</v>
      </c>
      <c r="AO7" t="s">
        <v>61</v>
      </c>
      <c r="AP7" t="s">
        <v>1594</v>
      </c>
      <c r="AQ7" t="s">
        <v>1595</v>
      </c>
      <c r="AR7" t="s">
        <v>63</v>
      </c>
      <c r="AS7" t="s">
        <v>63</v>
      </c>
      <c r="AT7" t="s">
        <v>61</v>
      </c>
      <c r="AU7">
        <v>5</v>
      </c>
      <c r="AV7" t="s">
        <v>66</v>
      </c>
      <c r="AW7" t="s">
        <v>66</v>
      </c>
      <c r="AX7" t="s">
        <v>66</v>
      </c>
      <c r="AY7" t="s">
        <v>66</v>
      </c>
      <c r="AZ7" t="s">
        <v>66</v>
      </c>
      <c r="BA7" t="s">
        <v>66</v>
      </c>
      <c r="BB7">
        <v>170</v>
      </c>
      <c r="BC7" t="s">
        <v>70</v>
      </c>
      <c r="BD7">
        <v>3</v>
      </c>
      <c r="BE7" t="s">
        <v>996</v>
      </c>
      <c r="BF7" t="s">
        <v>104</v>
      </c>
      <c r="BG7" t="s">
        <v>71</v>
      </c>
      <c r="BH7" t="s">
        <v>63</v>
      </c>
      <c r="BI7" t="s">
        <v>257</v>
      </c>
      <c r="BJ7" s="3" t="s">
        <v>142</v>
      </c>
      <c r="BK7" t="s">
        <v>948</v>
      </c>
      <c r="BL7" t="s">
        <v>484</v>
      </c>
      <c r="BM7" t="s">
        <v>143</v>
      </c>
      <c r="BN7" s="3" t="s">
        <v>488</v>
      </c>
      <c r="BO7" t="s">
        <v>627</v>
      </c>
      <c r="BP7" t="s">
        <v>1080</v>
      </c>
      <c r="BQ7" t="s">
        <v>78</v>
      </c>
      <c r="BR7" t="s">
        <v>1596</v>
      </c>
      <c r="BS7" t="s">
        <v>950</v>
      </c>
      <c r="BT7">
        <v>4</v>
      </c>
      <c r="BU7" t="s">
        <v>996</v>
      </c>
      <c r="BV7" t="s">
        <v>104</v>
      </c>
      <c r="BW7" t="s">
        <v>79</v>
      </c>
      <c r="BX7" t="s">
        <v>1550</v>
      </c>
      <c r="BY7" t="s">
        <v>499</v>
      </c>
      <c r="BZ7">
        <v>3</v>
      </c>
      <c r="CA7" t="s">
        <v>1597</v>
      </c>
      <c r="CB7" s="3" t="s">
        <v>1535</v>
      </c>
      <c r="CC7" s="3" t="s">
        <v>373</v>
      </c>
      <c r="CD7" s="3" t="s">
        <v>314</v>
      </c>
      <c r="CE7" s="3" t="s">
        <v>145</v>
      </c>
      <c r="CF7" t="s">
        <v>567</v>
      </c>
      <c r="CG7" s="3" t="s">
        <v>78</v>
      </c>
      <c r="CH7" s="3" t="s">
        <v>1535</v>
      </c>
      <c r="CI7" s="3" t="s">
        <v>894</v>
      </c>
      <c r="CJ7" s="3" t="s">
        <v>163</v>
      </c>
      <c r="CK7" s="3" t="s">
        <v>63</v>
      </c>
      <c r="CL7" t="s">
        <v>1598</v>
      </c>
      <c r="CM7" s="3" t="s">
        <v>1599</v>
      </c>
      <c r="CN7" s="3" t="s">
        <v>66</v>
      </c>
      <c r="CO7" s="3" t="s">
        <v>408</v>
      </c>
      <c r="CP7" s="3" t="s">
        <v>66</v>
      </c>
      <c r="CQ7" s="3" t="s">
        <v>66</v>
      </c>
      <c r="CR7" s="3" t="s">
        <v>66</v>
      </c>
      <c r="CS7" s="3" t="s">
        <v>229</v>
      </c>
      <c r="CT7" s="3" t="s">
        <v>78</v>
      </c>
      <c r="CU7" s="3" t="s">
        <v>1600</v>
      </c>
      <c r="CV7" s="3" t="s">
        <v>1601</v>
      </c>
    </row>
    <row r="8" spans="1:100" x14ac:dyDescent="0.25">
      <c r="A8" t="s">
        <v>1602</v>
      </c>
      <c r="B8" t="s">
        <v>769</v>
      </c>
      <c r="C8" s="1">
        <v>45826</v>
      </c>
      <c r="D8" t="s">
        <v>1603</v>
      </c>
      <c r="E8">
        <v>30498849</v>
      </c>
      <c r="F8">
        <v>35</v>
      </c>
      <c r="G8">
        <v>35</v>
      </c>
      <c r="H8" t="s">
        <v>851</v>
      </c>
      <c r="I8" t="s">
        <v>851</v>
      </c>
      <c r="J8" t="s">
        <v>851</v>
      </c>
      <c r="K8" s="1">
        <v>25702</v>
      </c>
      <c r="L8" s="15">
        <f t="shared" si="0"/>
        <v>55</v>
      </c>
      <c r="M8" t="s">
        <v>59</v>
      </c>
      <c r="N8" t="s">
        <v>108</v>
      </c>
      <c r="O8" t="s">
        <v>60</v>
      </c>
      <c r="P8" t="s">
        <v>61</v>
      </c>
      <c r="Q8" t="s">
        <v>61</v>
      </c>
      <c r="R8" t="s">
        <v>62</v>
      </c>
      <c r="S8" t="s">
        <v>61</v>
      </c>
      <c r="T8" t="s">
        <v>1604</v>
      </c>
      <c r="U8" t="s">
        <v>61</v>
      </c>
      <c r="V8" t="s">
        <v>1723</v>
      </c>
      <c r="W8" t="s">
        <v>1736</v>
      </c>
      <c r="X8" t="s">
        <v>66</v>
      </c>
      <c r="Y8" t="s">
        <v>66</v>
      </c>
      <c r="Z8" t="s">
        <v>66</v>
      </c>
      <c r="AA8" t="s">
        <v>66</v>
      </c>
      <c r="AB8" t="s">
        <v>61</v>
      </c>
      <c r="AC8" t="s">
        <v>1605</v>
      </c>
      <c r="AD8">
        <v>1</v>
      </c>
      <c r="AE8">
        <v>3</v>
      </c>
      <c r="AF8" t="s">
        <v>61</v>
      </c>
      <c r="AG8" t="s">
        <v>1606</v>
      </c>
      <c r="AH8" t="s">
        <v>61</v>
      </c>
      <c r="AI8" t="s">
        <v>1607</v>
      </c>
      <c r="AJ8" t="s">
        <v>61</v>
      </c>
      <c r="AK8" t="s">
        <v>66</v>
      </c>
      <c r="AL8" t="s">
        <v>61</v>
      </c>
      <c r="AM8" t="s">
        <v>66</v>
      </c>
      <c r="AN8">
        <v>2</v>
      </c>
      <c r="AO8" t="s">
        <v>61</v>
      </c>
      <c r="AP8" t="s">
        <v>1608</v>
      </c>
      <c r="AQ8" t="s">
        <v>1609</v>
      </c>
      <c r="AR8" t="s">
        <v>63</v>
      </c>
      <c r="AS8" t="s">
        <v>63</v>
      </c>
      <c r="AT8" t="s">
        <v>61</v>
      </c>
      <c r="AU8">
        <v>3</v>
      </c>
      <c r="AV8" t="s">
        <v>1608</v>
      </c>
      <c r="AW8" t="s">
        <v>1610</v>
      </c>
      <c r="AX8" t="s">
        <v>63</v>
      </c>
      <c r="AY8" t="s">
        <v>63</v>
      </c>
      <c r="AZ8" t="s">
        <v>61</v>
      </c>
      <c r="BA8">
        <v>3</v>
      </c>
      <c r="BB8" t="s">
        <v>95</v>
      </c>
      <c r="BC8" t="s">
        <v>70</v>
      </c>
      <c r="BD8">
        <v>3</v>
      </c>
      <c r="BE8" t="s">
        <v>175</v>
      </c>
      <c r="BF8" t="s">
        <v>104</v>
      </c>
      <c r="BG8" t="s">
        <v>71</v>
      </c>
      <c r="BH8" t="s">
        <v>63</v>
      </c>
      <c r="BI8" t="s">
        <v>257</v>
      </c>
      <c r="BJ8">
        <v>4</v>
      </c>
      <c r="BK8" t="s">
        <v>1414</v>
      </c>
      <c r="BL8">
        <v>15</v>
      </c>
      <c r="BM8">
        <v>72</v>
      </c>
      <c r="BN8">
        <v>5</v>
      </c>
      <c r="BO8" t="s">
        <v>907</v>
      </c>
      <c r="BP8" t="s">
        <v>502</v>
      </c>
      <c r="BQ8" t="s">
        <v>78</v>
      </c>
      <c r="BR8" t="s">
        <v>1348</v>
      </c>
      <c r="BS8" t="s">
        <v>950</v>
      </c>
      <c r="BT8">
        <v>4</v>
      </c>
      <c r="BU8" t="s">
        <v>175</v>
      </c>
      <c r="BV8" t="s">
        <v>104</v>
      </c>
      <c r="BW8" t="s">
        <v>79</v>
      </c>
      <c r="BX8" t="s">
        <v>1550</v>
      </c>
      <c r="BY8" t="s">
        <v>499</v>
      </c>
      <c r="BZ8">
        <v>5</v>
      </c>
      <c r="CA8" t="s">
        <v>1611</v>
      </c>
      <c r="CB8" s="3" t="s">
        <v>1535</v>
      </c>
      <c r="CC8" s="3" t="s">
        <v>373</v>
      </c>
      <c r="CD8" s="3" t="s">
        <v>314</v>
      </c>
      <c r="CE8" s="3" t="s">
        <v>571</v>
      </c>
      <c r="CF8" s="3" t="s">
        <v>1612</v>
      </c>
      <c r="CG8" s="3" t="s">
        <v>78</v>
      </c>
      <c r="CH8" s="3" t="s">
        <v>1535</v>
      </c>
      <c r="CI8" t="s">
        <v>66</v>
      </c>
      <c r="CJ8" s="3" t="s">
        <v>66</v>
      </c>
      <c r="CK8" s="3" t="s">
        <v>66</v>
      </c>
      <c r="CL8" s="3" t="s">
        <v>66</v>
      </c>
      <c r="CM8" s="3" t="s">
        <v>66</v>
      </c>
      <c r="CN8" s="3" t="s">
        <v>66</v>
      </c>
      <c r="CO8" s="3" t="s">
        <v>66</v>
      </c>
      <c r="CP8" s="3" t="s">
        <v>66</v>
      </c>
      <c r="CQ8" s="3" t="s">
        <v>66</v>
      </c>
      <c r="CR8" s="3" t="s">
        <v>66</v>
      </c>
      <c r="CS8" s="3" t="s">
        <v>66</v>
      </c>
      <c r="CT8" s="3" t="s">
        <v>66</v>
      </c>
      <c r="CU8" s="3" t="s">
        <v>66</v>
      </c>
      <c r="CV8" s="3" t="s">
        <v>1613</v>
      </c>
    </row>
    <row r="9" spans="1:100" x14ac:dyDescent="0.25">
      <c r="A9" t="s">
        <v>1614</v>
      </c>
      <c r="B9" t="s">
        <v>769</v>
      </c>
      <c r="C9" s="1">
        <v>45826</v>
      </c>
      <c r="D9" t="s">
        <v>1615</v>
      </c>
      <c r="E9">
        <v>30498571</v>
      </c>
      <c r="F9">
        <v>47</v>
      </c>
      <c r="G9">
        <v>30</v>
      </c>
      <c r="H9" t="s">
        <v>851</v>
      </c>
      <c r="I9" t="s">
        <v>851</v>
      </c>
      <c r="J9" t="s">
        <v>851</v>
      </c>
      <c r="K9" s="1">
        <v>21107</v>
      </c>
      <c r="L9" s="15">
        <f t="shared" si="0"/>
        <v>67</v>
      </c>
      <c r="M9" t="s">
        <v>59</v>
      </c>
      <c r="N9" t="s">
        <v>298</v>
      </c>
      <c r="O9" t="s">
        <v>60</v>
      </c>
      <c r="P9" t="s">
        <v>61</v>
      </c>
      <c r="Q9" t="s">
        <v>61</v>
      </c>
      <c r="R9" t="s">
        <v>62</v>
      </c>
      <c r="S9" t="s">
        <v>61</v>
      </c>
      <c r="T9" t="s">
        <v>1604</v>
      </c>
      <c r="U9" t="s">
        <v>61</v>
      </c>
      <c r="V9" t="s">
        <v>1723</v>
      </c>
      <c r="W9" t="s">
        <v>1756</v>
      </c>
      <c r="X9" t="s">
        <v>66</v>
      </c>
      <c r="Y9" t="s">
        <v>66</v>
      </c>
      <c r="Z9" t="s">
        <v>66</v>
      </c>
      <c r="AA9" t="s">
        <v>66</v>
      </c>
      <c r="AB9" t="s">
        <v>63</v>
      </c>
      <c r="AC9" t="s">
        <v>66</v>
      </c>
      <c r="AD9">
        <v>1</v>
      </c>
      <c r="AE9">
        <v>3</v>
      </c>
      <c r="AF9" t="s">
        <v>63</v>
      </c>
      <c r="AG9" t="s">
        <v>66</v>
      </c>
      <c r="AH9" t="s">
        <v>63</v>
      </c>
      <c r="AI9" t="s">
        <v>66</v>
      </c>
      <c r="AJ9" t="s">
        <v>61</v>
      </c>
      <c r="AK9" t="s">
        <v>66</v>
      </c>
      <c r="AL9" t="s">
        <v>61</v>
      </c>
      <c r="AM9" t="s">
        <v>66</v>
      </c>
      <c r="AN9">
        <v>1</v>
      </c>
      <c r="AO9" t="s">
        <v>61</v>
      </c>
      <c r="AP9" t="s">
        <v>1616</v>
      </c>
      <c r="AQ9" t="s">
        <v>1617</v>
      </c>
      <c r="AR9" t="s">
        <v>63</v>
      </c>
      <c r="AS9" t="s">
        <v>63</v>
      </c>
      <c r="AT9" t="s">
        <v>61</v>
      </c>
      <c r="AU9">
        <v>3</v>
      </c>
      <c r="AV9" t="s">
        <v>66</v>
      </c>
      <c r="AW9" t="s">
        <v>66</v>
      </c>
      <c r="AX9" t="s">
        <v>66</v>
      </c>
      <c r="AY9" t="s">
        <v>66</v>
      </c>
      <c r="AZ9" t="s">
        <v>66</v>
      </c>
      <c r="BA9" t="s">
        <v>66</v>
      </c>
      <c r="BB9">
        <v>136</v>
      </c>
      <c r="BC9" t="s">
        <v>70</v>
      </c>
      <c r="BD9">
        <v>2</v>
      </c>
      <c r="BE9" t="s">
        <v>1618</v>
      </c>
      <c r="BF9" t="s">
        <v>104</v>
      </c>
      <c r="BG9" t="s">
        <v>71</v>
      </c>
      <c r="BH9" t="s">
        <v>63</v>
      </c>
      <c r="BI9" t="s">
        <v>254</v>
      </c>
      <c r="BJ9" s="3" t="s">
        <v>77</v>
      </c>
      <c r="BK9" t="s">
        <v>1619</v>
      </c>
      <c r="BL9">
        <v>15</v>
      </c>
      <c r="BM9">
        <v>72</v>
      </c>
      <c r="BN9" s="3" t="s">
        <v>467</v>
      </c>
      <c r="BO9" t="s">
        <v>891</v>
      </c>
      <c r="BP9" t="s">
        <v>675</v>
      </c>
      <c r="BQ9" t="s">
        <v>970</v>
      </c>
      <c r="BR9" t="s">
        <v>312</v>
      </c>
      <c r="BS9" t="s">
        <v>66</v>
      </c>
      <c r="BT9" t="s">
        <v>66</v>
      </c>
      <c r="BU9" t="s">
        <v>66</v>
      </c>
      <c r="BV9" t="s">
        <v>66</v>
      </c>
      <c r="BW9" t="s">
        <v>66</v>
      </c>
      <c r="BX9" t="s">
        <v>66</v>
      </c>
      <c r="BY9" t="s">
        <v>66</v>
      </c>
      <c r="BZ9" t="s">
        <v>66</v>
      </c>
      <c r="CA9" t="s">
        <v>66</v>
      </c>
      <c r="CB9" t="s">
        <v>66</v>
      </c>
      <c r="CC9" t="s">
        <v>66</v>
      </c>
      <c r="CD9" t="s">
        <v>66</v>
      </c>
      <c r="CE9" t="s">
        <v>66</v>
      </c>
      <c r="CF9" t="s">
        <v>66</v>
      </c>
      <c r="CG9" t="s">
        <v>66</v>
      </c>
      <c r="CH9" t="s">
        <v>66</v>
      </c>
      <c r="CI9" t="s">
        <v>66</v>
      </c>
      <c r="CJ9" t="s">
        <v>66</v>
      </c>
      <c r="CK9" t="s">
        <v>66</v>
      </c>
      <c r="CL9" t="s">
        <v>66</v>
      </c>
      <c r="CM9" t="s">
        <v>66</v>
      </c>
      <c r="CN9" t="s">
        <v>66</v>
      </c>
      <c r="CO9" t="s">
        <v>66</v>
      </c>
      <c r="CP9" t="s">
        <v>66</v>
      </c>
      <c r="CQ9" t="s">
        <v>66</v>
      </c>
      <c r="CR9" t="s">
        <v>66</v>
      </c>
      <c r="CS9" t="s">
        <v>66</v>
      </c>
      <c r="CT9" t="s">
        <v>66</v>
      </c>
      <c r="CU9" t="s">
        <v>66</v>
      </c>
      <c r="CV9" t="s">
        <v>1620</v>
      </c>
    </row>
    <row r="10" spans="1:100" x14ac:dyDescent="0.25">
      <c r="A10" t="s">
        <v>1621</v>
      </c>
      <c r="B10" t="s">
        <v>769</v>
      </c>
      <c r="C10" s="1">
        <v>45826</v>
      </c>
      <c r="D10" t="s">
        <v>1622</v>
      </c>
      <c r="E10">
        <v>80426025</v>
      </c>
      <c r="F10">
        <v>35</v>
      </c>
      <c r="G10">
        <v>25</v>
      </c>
      <c r="H10" t="s">
        <v>851</v>
      </c>
      <c r="I10" t="s">
        <v>851</v>
      </c>
      <c r="J10" t="s">
        <v>1623</v>
      </c>
      <c r="K10" s="1">
        <v>27506</v>
      </c>
      <c r="L10" s="15">
        <f t="shared" si="0"/>
        <v>50</v>
      </c>
      <c r="M10" t="s">
        <v>59</v>
      </c>
      <c r="N10" t="s">
        <v>108</v>
      </c>
      <c r="O10" t="s">
        <v>60</v>
      </c>
      <c r="P10" t="s">
        <v>61</v>
      </c>
      <c r="Q10" t="s">
        <v>61</v>
      </c>
      <c r="R10" t="s">
        <v>62</v>
      </c>
      <c r="S10" t="s">
        <v>61</v>
      </c>
      <c r="T10" t="s">
        <v>1604</v>
      </c>
      <c r="U10" t="s">
        <v>61</v>
      </c>
      <c r="V10" t="s">
        <v>1723</v>
      </c>
      <c r="W10" t="s">
        <v>1736</v>
      </c>
      <c r="X10" t="s">
        <v>66</v>
      </c>
      <c r="Y10" t="s">
        <v>66</v>
      </c>
      <c r="Z10" t="s">
        <v>66</v>
      </c>
      <c r="AA10" t="s">
        <v>66</v>
      </c>
      <c r="AB10" t="s">
        <v>61</v>
      </c>
      <c r="AC10" t="s">
        <v>1247</v>
      </c>
      <c r="AD10">
        <v>2</v>
      </c>
      <c r="AE10">
        <v>2</v>
      </c>
      <c r="AF10" t="s">
        <v>61</v>
      </c>
      <c r="AG10" t="s">
        <v>132</v>
      </c>
      <c r="AH10" t="s">
        <v>63</v>
      </c>
      <c r="AI10" t="s">
        <v>66</v>
      </c>
      <c r="AJ10" t="s">
        <v>61</v>
      </c>
      <c r="AK10" t="s">
        <v>66</v>
      </c>
      <c r="AL10" t="s">
        <v>61</v>
      </c>
      <c r="AM10" t="s">
        <v>66</v>
      </c>
      <c r="AN10">
        <v>2</v>
      </c>
      <c r="AO10" t="s">
        <v>61</v>
      </c>
      <c r="AP10" t="s">
        <v>1624</v>
      </c>
      <c r="AQ10" t="s">
        <v>1625</v>
      </c>
      <c r="AR10" t="s">
        <v>63</v>
      </c>
      <c r="AS10" t="s">
        <v>63</v>
      </c>
      <c r="AT10" t="s">
        <v>61</v>
      </c>
      <c r="AU10">
        <v>8</v>
      </c>
      <c r="AV10" t="s">
        <v>93</v>
      </c>
      <c r="AW10" t="s">
        <v>93</v>
      </c>
      <c r="AX10" t="s">
        <v>93</v>
      </c>
      <c r="AY10" t="s">
        <v>93</v>
      </c>
      <c r="AZ10" t="s">
        <v>93</v>
      </c>
      <c r="BA10" t="s">
        <v>93</v>
      </c>
      <c r="BB10" t="s">
        <v>218</v>
      </c>
      <c r="BC10" t="s">
        <v>70</v>
      </c>
      <c r="BD10">
        <v>3</v>
      </c>
      <c r="BE10" t="s">
        <v>175</v>
      </c>
      <c r="BF10" t="s">
        <v>104</v>
      </c>
      <c r="BG10" t="s">
        <v>71</v>
      </c>
      <c r="BH10" t="s">
        <v>63</v>
      </c>
      <c r="BI10" t="s">
        <v>254</v>
      </c>
      <c r="BJ10" s="3" t="s">
        <v>225</v>
      </c>
      <c r="BK10" t="s">
        <v>1626</v>
      </c>
      <c r="BL10" t="s">
        <v>292</v>
      </c>
      <c r="BM10" t="s">
        <v>73</v>
      </c>
      <c r="BN10" s="3" t="s">
        <v>1627</v>
      </c>
      <c r="BO10" t="s">
        <v>493</v>
      </c>
      <c r="BP10" t="s">
        <v>177</v>
      </c>
      <c r="BQ10" t="s">
        <v>78</v>
      </c>
      <c r="BR10" t="s">
        <v>1221</v>
      </c>
      <c r="BS10" t="s">
        <v>950</v>
      </c>
      <c r="BT10">
        <v>4</v>
      </c>
      <c r="BU10" t="s">
        <v>175</v>
      </c>
      <c r="BV10" t="s">
        <v>104</v>
      </c>
      <c r="BW10" t="s">
        <v>79</v>
      </c>
      <c r="BX10" t="s">
        <v>1081</v>
      </c>
      <c r="BY10" t="s">
        <v>462</v>
      </c>
      <c r="BZ10" s="3" t="s">
        <v>77</v>
      </c>
      <c r="CA10" t="s">
        <v>1628</v>
      </c>
      <c r="CB10">
        <v>12</v>
      </c>
      <c r="CC10">
        <v>2</v>
      </c>
      <c r="CD10">
        <v>10</v>
      </c>
      <c r="CE10">
        <v>300</v>
      </c>
      <c r="CF10" t="s">
        <v>1629</v>
      </c>
      <c r="CG10" s="3" t="s">
        <v>78</v>
      </c>
      <c r="CH10">
        <v>10</v>
      </c>
      <c r="CI10" t="s">
        <v>66</v>
      </c>
      <c r="CJ10" s="3" t="s">
        <v>66</v>
      </c>
      <c r="CK10" s="3" t="s">
        <v>66</v>
      </c>
      <c r="CL10" s="3" t="s">
        <v>66</v>
      </c>
      <c r="CM10" s="3" t="s">
        <v>66</v>
      </c>
      <c r="CN10" s="3" t="s">
        <v>66</v>
      </c>
      <c r="CO10" s="3" t="s">
        <v>66</v>
      </c>
      <c r="CP10" s="3" t="s">
        <v>66</v>
      </c>
      <c r="CQ10" s="3" t="s">
        <v>66</v>
      </c>
      <c r="CR10" s="3" t="s">
        <v>66</v>
      </c>
      <c r="CS10" s="3" t="s">
        <v>66</v>
      </c>
      <c r="CT10" s="3" t="s">
        <v>66</v>
      </c>
      <c r="CU10" s="3" t="s">
        <v>66</v>
      </c>
      <c r="CV10" s="3" t="s">
        <v>1630</v>
      </c>
    </row>
    <row r="11" spans="1:100" x14ac:dyDescent="0.25">
      <c r="A11" t="s">
        <v>1631</v>
      </c>
      <c r="B11" t="s">
        <v>1106</v>
      </c>
      <c r="C11" s="1">
        <v>45825</v>
      </c>
      <c r="D11" t="s">
        <v>1632</v>
      </c>
      <c r="E11">
        <v>30498921</v>
      </c>
      <c r="F11">
        <v>40</v>
      </c>
      <c r="G11">
        <v>20</v>
      </c>
      <c r="H11" t="s">
        <v>851</v>
      </c>
      <c r="I11" t="s">
        <v>851</v>
      </c>
      <c r="J11" t="s">
        <v>851</v>
      </c>
      <c r="K11" s="1">
        <v>23386</v>
      </c>
      <c r="L11" s="15">
        <f t="shared" si="0"/>
        <v>61</v>
      </c>
      <c r="M11" t="s">
        <v>59</v>
      </c>
      <c r="N11" t="s">
        <v>89</v>
      </c>
      <c r="O11" t="s">
        <v>60</v>
      </c>
      <c r="P11" t="s">
        <v>61</v>
      </c>
      <c r="Q11" t="s">
        <v>61</v>
      </c>
      <c r="R11" t="s">
        <v>129</v>
      </c>
      <c r="S11" t="s">
        <v>61</v>
      </c>
      <c r="T11" t="s">
        <v>1633</v>
      </c>
      <c r="U11" t="s">
        <v>63</v>
      </c>
      <c r="V11" t="s">
        <v>66</v>
      </c>
      <c r="W11" t="s">
        <v>66</v>
      </c>
      <c r="X11" t="s">
        <v>66</v>
      </c>
      <c r="Y11" t="s">
        <v>66</v>
      </c>
      <c r="Z11" t="s">
        <v>66</v>
      </c>
      <c r="AA11" t="s">
        <v>66</v>
      </c>
      <c r="AB11" t="s">
        <v>61</v>
      </c>
      <c r="AC11" t="s">
        <v>1158</v>
      </c>
      <c r="AD11">
        <v>1</v>
      </c>
      <c r="AE11">
        <v>0</v>
      </c>
      <c r="AF11" t="s">
        <v>63</v>
      </c>
      <c r="AG11" t="s">
        <v>66</v>
      </c>
      <c r="AH11" t="s">
        <v>63</v>
      </c>
      <c r="AI11" t="s">
        <v>66</v>
      </c>
      <c r="AJ11" t="s">
        <v>61</v>
      </c>
      <c r="AK11" t="s">
        <v>66</v>
      </c>
      <c r="AL11" t="s">
        <v>61</v>
      </c>
      <c r="AM11" t="s">
        <v>66</v>
      </c>
      <c r="AN11">
        <v>0</v>
      </c>
      <c r="AO11" t="s">
        <v>66</v>
      </c>
      <c r="AP11" t="s">
        <v>1634</v>
      </c>
      <c r="AQ11" t="s">
        <v>93</v>
      </c>
      <c r="AR11" t="s">
        <v>63</v>
      </c>
      <c r="AS11" t="s">
        <v>63</v>
      </c>
      <c r="AT11" t="s">
        <v>61</v>
      </c>
      <c r="AU11">
        <v>12</v>
      </c>
      <c r="AV11" t="s">
        <v>66</v>
      </c>
      <c r="AW11" t="s">
        <v>66</v>
      </c>
      <c r="AX11" t="s">
        <v>66</v>
      </c>
      <c r="AY11" t="s">
        <v>66</v>
      </c>
      <c r="AZ11" t="s">
        <v>66</v>
      </c>
      <c r="BA11" t="s">
        <v>66</v>
      </c>
      <c r="BB11">
        <v>238</v>
      </c>
      <c r="BC11" t="s">
        <v>70</v>
      </c>
      <c r="BD11">
        <v>3</v>
      </c>
      <c r="BE11" t="s">
        <v>1635</v>
      </c>
      <c r="BF11" t="s">
        <v>104</v>
      </c>
      <c r="BG11" t="s">
        <v>71</v>
      </c>
      <c r="BH11" t="s">
        <v>63</v>
      </c>
      <c r="BI11" t="s">
        <v>257</v>
      </c>
      <c r="BJ11" s="3" t="s">
        <v>837</v>
      </c>
      <c r="BK11" t="s">
        <v>1414</v>
      </c>
      <c r="BL11" t="s">
        <v>376</v>
      </c>
      <c r="BM11">
        <v>72</v>
      </c>
      <c r="BN11" s="3" t="s">
        <v>370</v>
      </c>
      <c r="BO11" t="s">
        <v>1636</v>
      </c>
      <c r="BP11" t="s">
        <v>579</v>
      </c>
      <c r="BQ11" t="s">
        <v>78</v>
      </c>
      <c r="BR11" t="s">
        <v>672</v>
      </c>
      <c r="BS11" t="s">
        <v>950</v>
      </c>
      <c r="BT11">
        <v>3</v>
      </c>
      <c r="BU11" t="s">
        <v>1635</v>
      </c>
      <c r="BV11" t="s">
        <v>104</v>
      </c>
      <c r="BW11" t="s">
        <v>79</v>
      </c>
      <c r="BX11" t="s">
        <v>1637</v>
      </c>
      <c r="BY11" t="s">
        <v>1638</v>
      </c>
      <c r="BZ11">
        <v>8</v>
      </c>
      <c r="CA11" t="s">
        <v>1639</v>
      </c>
      <c r="CB11">
        <v>7</v>
      </c>
      <c r="CC11" s="3" t="s">
        <v>142</v>
      </c>
      <c r="CD11" s="3" t="s">
        <v>488</v>
      </c>
      <c r="CE11" t="s">
        <v>1192</v>
      </c>
      <c r="CF11">
        <v>5000</v>
      </c>
      <c r="CG11" s="3" t="s">
        <v>78</v>
      </c>
      <c r="CH11" s="3" t="s">
        <v>1640</v>
      </c>
      <c r="CI11" s="3" t="s">
        <v>894</v>
      </c>
      <c r="CJ11" s="3" t="s">
        <v>163</v>
      </c>
      <c r="CK11" s="3" t="s">
        <v>63</v>
      </c>
      <c r="CL11" s="3" t="s">
        <v>895</v>
      </c>
      <c r="CM11" s="3" t="s">
        <v>1641</v>
      </c>
      <c r="CN11" s="3" t="s">
        <v>66</v>
      </c>
      <c r="CO11">
        <v>3</v>
      </c>
      <c r="CP11" s="3" t="s">
        <v>66</v>
      </c>
      <c r="CQ11" s="3" t="s">
        <v>66</v>
      </c>
      <c r="CR11" s="3" t="s">
        <v>66</v>
      </c>
      <c r="CS11" s="3" t="s">
        <v>490</v>
      </c>
      <c r="CT11" s="3" t="s">
        <v>78</v>
      </c>
      <c r="CU11" s="3" t="s">
        <v>556</v>
      </c>
    </row>
    <row r="12" spans="1:100" x14ac:dyDescent="0.25">
      <c r="A12" t="s">
        <v>1642</v>
      </c>
      <c r="B12" t="s">
        <v>1106</v>
      </c>
      <c r="C12" s="1">
        <v>45825</v>
      </c>
      <c r="D12" t="s">
        <v>1643</v>
      </c>
      <c r="E12">
        <v>72677790</v>
      </c>
      <c r="F12">
        <v>15</v>
      </c>
      <c r="G12">
        <v>15</v>
      </c>
      <c r="H12" t="s">
        <v>851</v>
      </c>
      <c r="I12" t="s">
        <v>851</v>
      </c>
      <c r="J12" t="s">
        <v>851</v>
      </c>
      <c r="K12" s="1">
        <v>33236</v>
      </c>
      <c r="L12" s="15">
        <f t="shared" si="0"/>
        <v>34</v>
      </c>
      <c r="M12" t="s">
        <v>59</v>
      </c>
      <c r="N12" t="s">
        <v>108</v>
      </c>
      <c r="O12" t="s">
        <v>90</v>
      </c>
      <c r="P12" t="s">
        <v>61</v>
      </c>
      <c r="Q12" t="s">
        <v>61</v>
      </c>
      <c r="R12" t="s">
        <v>285</v>
      </c>
      <c r="S12" t="s">
        <v>61</v>
      </c>
      <c r="T12" t="s">
        <v>1644</v>
      </c>
      <c r="U12" t="s">
        <v>61</v>
      </c>
      <c r="V12" t="s">
        <v>1723</v>
      </c>
      <c r="W12" t="s">
        <v>1724</v>
      </c>
      <c r="X12" t="s">
        <v>66</v>
      </c>
      <c r="Y12" t="s">
        <v>66</v>
      </c>
      <c r="Z12" t="s">
        <v>66</v>
      </c>
      <c r="AA12" t="s">
        <v>66</v>
      </c>
      <c r="AB12" t="s">
        <v>61</v>
      </c>
      <c r="AC12" t="s">
        <v>1247</v>
      </c>
      <c r="AD12">
        <v>3</v>
      </c>
      <c r="AE12">
        <v>3</v>
      </c>
      <c r="AF12" t="s">
        <v>61</v>
      </c>
      <c r="AG12" t="s">
        <v>976</v>
      </c>
      <c r="AH12" t="s">
        <v>63</v>
      </c>
      <c r="AI12" t="s">
        <v>66</v>
      </c>
      <c r="AJ12" t="s">
        <v>61</v>
      </c>
      <c r="AK12" t="s">
        <v>66</v>
      </c>
      <c r="AL12" t="s">
        <v>61</v>
      </c>
      <c r="AM12" t="s">
        <v>66</v>
      </c>
      <c r="AN12">
        <v>0</v>
      </c>
      <c r="AO12" t="s">
        <v>61</v>
      </c>
      <c r="AP12" t="s">
        <v>1645</v>
      </c>
      <c r="AQ12" t="s">
        <v>93</v>
      </c>
      <c r="AR12" t="s">
        <v>63</v>
      </c>
      <c r="AS12" t="s">
        <v>63</v>
      </c>
      <c r="AT12" t="s">
        <v>61</v>
      </c>
      <c r="AU12">
        <v>9</v>
      </c>
      <c r="AV12" t="s">
        <v>66</v>
      </c>
      <c r="AW12" t="s">
        <v>66</v>
      </c>
      <c r="AX12" t="s">
        <v>66</v>
      </c>
      <c r="AY12" t="s">
        <v>66</v>
      </c>
      <c r="AZ12" t="s">
        <v>66</v>
      </c>
      <c r="BA12" t="s">
        <v>66</v>
      </c>
      <c r="BB12">
        <v>204</v>
      </c>
      <c r="BC12" t="s">
        <v>70</v>
      </c>
      <c r="BD12">
        <v>3</v>
      </c>
      <c r="BE12" t="s">
        <v>230</v>
      </c>
      <c r="BF12" t="s">
        <v>104</v>
      </c>
      <c r="BG12" t="s">
        <v>71</v>
      </c>
      <c r="BH12" t="s">
        <v>63</v>
      </c>
      <c r="BI12" t="s">
        <v>486</v>
      </c>
      <c r="BJ12">
        <v>4</v>
      </c>
      <c r="BK12" t="s">
        <v>1198</v>
      </c>
      <c r="BL12" t="s">
        <v>1102</v>
      </c>
      <c r="BM12">
        <v>96</v>
      </c>
      <c r="BN12" s="3" t="s">
        <v>77</v>
      </c>
      <c r="BO12">
        <v>100</v>
      </c>
      <c r="BP12">
        <v>1000</v>
      </c>
      <c r="BQ12" t="s">
        <v>78</v>
      </c>
      <c r="BR12" t="s">
        <v>1000</v>
      </c>
      <c r="BS12" t="s">
        <v>950</v>
      </c>
      <c r="BT12">
        <v>4</v>
      </c>
      <c r="BU12" t="s">
        <v>230</v>
      </c>
      <c r="BV12" t="s">
        <v>104</v>
      </c>
      <c r="BW12" t="s">
        <v>79</v>
      </c>
      <c r="BX12" t="s">
        <v>1550</v>
      </c>
      <c r="BY12" t="s">
        <v>101</v>
      </c>
      <c r="BZ12">
        <v>3</v>
      </c>
      <c r="CA12" t="s">
        <v>1646</v>
      </c>
      <c r="CB12" s="3" t="s">
        <v>84</v>
      </c>
      <c r="CC12" s="3" t="s">
        <v>142</v>
      </c>
      <c r="CD12">
        <v>10</v>
      </c>
      <c r="CE12">
        <v>500</v>
      </c>
      <c r="CF12">
        <v>3000</v>
      </c>
      <c r="CG12" s="3" t="s">
        <v>78</v>
      </c>
      <c r="CH12" s="3" t="s">
        <v>479</v>
      </c>
      <c r="CI12" s="3" t="s">
        <v>894</v>
      </c>
      <c r="CJ12" s="3" t="s">
        <v>163</v>
      </c>
      <c r="CK12" s="3" t="s">
        <v>63</v>
      </c>
      <c r="CL12" s="3" t="s">
        <v>1647</v>
      </c>
      <c r="CM12" s="3" t="s">
        <v>144</v>
      </c>
      <c r="CN12" s="3" t="s">
        <v>66</v>
      </c>
      <c r="CO12" s="3" t="s">
        <v>274</v>
      </c>
      <c r="CP12" s="3" t="s">
        <v>66</v>
      </c>
      <c r="CQ12" s="3" t="s">
        <v>66</v>
      </c>
      <c r="CR12" s="3" t="s">
        <v>66</v>
      </c>
      <c r="CS12" s="3" t="s">
        <v>1648</v>
      </c>
      <c r="CT12" s="3" t="s">
        <v>78</v>
      </c>
      <c r="CU12">
        <v>4</v>
      </c>
      <c r="CV12" s="3" t="s">
        <v>1649</v>
      </c>
    </row>
    <row r="13" spans="1:100" x14ac:dyDescent="0.25">
      <c r="A13" t="s">
        <v>1650</v>
      </c>
      <c r="B13" t="s">
        <v>1106</v>
      </c>
      <c r="C13" s="1">
        <v>45826</v>
      </c>
      <c r="D13" t="s">
        <v>1106</v>
      </c>
      <c r="E13">
        <v>45921520</v>
      </c>
      <c r="F13">
        <v>8</v>
      </c>
      <c r="G13">
        <v>7</v>
      </c>
      <c r="H13" t="s">
        <v>851</v>
      </c>
      <c r="I13" t="s">
        <v>851</v>
      </c>
      <c r="J13" t="s">
        <v>851</v>
      </c>
      <c r="K13" s="1">
        <v>29549</v>
      </c>
      <c r="L13" s="15">
        <f t="shared" si="0"/>
        <v>44</v>
      </c>
      <c r="M13" t="s">
        <v>59</v>
      </c>
      <c r="N13" t="s">
        <v>89</v>
      </c>
      <c r="O13" t="s">
        <v>60</v>
      </c>
      <c r="P13" t="s">
        <v>61</v>
      </c>
      <c r="Q13" t="s">
        <v>61</v>
      </c>
      <c r="R13" t="s">
        <v>285</v>
      </c>
      <c r="S13" t="s">
        <v>61</v>
      </c>
      <c r="T13" t="s">
        <v>1604</v>
      </c>
      <c r="U13" t="s">
        <v>63</v>
      </c>
      <c r="V13" t="s">
        <v>66</v>
      </c>
      <c r="W13" t="s">
        <v>66</v>
      </c>
      <c r="X13" t="s">
        <v>66</v>
      </c>
      <c r="Y13" t="s">
        <v>66</v>
      </c>
      <c r="Z13" t="s">
        <v>66</v>
      </c>
      <c r="AA13" t="s">
        <v>66</v>
      </c>
      <c r="AB13" t="s">
        <v>63</v>
      </c>
      <c r="AC13" t="s">
        <v>66</v>
      </c>
      <c r="AD13">
        <v>2</v>
      </c>
      <c r="AE13">
        <v>0</v>
      </c>
      <c r="AF13" t="s">
        <v>63</v>
      </c>
      <c r="AG13" t="s">
        <v>66</v>
      </c>
      <c r="AH13" t="s">
        <v>63</v>
      </c>
      <c r="AI13" t="s">
        <v>66</v>
      </c>
      <c r="AJ13" t="s">
        <v>61</v>
      </c>
      <c r="AK13" t="s">
        <v>66</v>
      </c>
      <c r="AL13" t="s">
        <v>61</v>
      </c>
      <c r="AM13" t="s">
        <v>66</v>
      </c>
      <c r="AN13">
        <v>1</v>
      </c>
      <c r="AO13" t="s">
        <v>61</v>
      </c>
      <c r="AP13" t="s">
        <v>1651</v>
      </c>
      <c r="AQ13" t="s">
        <v>1652</v>
      </c>
      <c r="AR13" t="s">
        <v>63</v>
      </c>
      <c r="AS13" t="s">
        <v>63</v>
      </c>
      <c r="AT13" t="s">
        <v>63</v>
      </c>
      <c r="AU13">
        <v>6</v>
      </c>
      <c r="AV13" t="s">
        <v>66</v>
      </c>
      <c r="AW13" t="s">
        <v>66</v>
      </c>
      <c r="AX13" t="s">
        <v>66</v>
      </c>
      <c r="AY13" t="s">
        <v>66</v>
      </c>
      <c r="AZ13" t="s">
        <v>66</v>
      </c>
      <c r="BA13" t="s">
        <v>66</v>
      </c>
      <c r="BB13">
        <v>170</v>
      </c>
      <c r="BC13" t="s">
        <v>70</v>
      </c>
      <c r="BD13">
        <v>3</v>
      </c>
      <c r="BE13" t="s">
        <v>388</v>
      </c>
      <c r="BF13" t="s">
        <v>104</v>
      </c>
      <c r="BG13" t="s">
        <v>71</v>
      </c>
      <c r="BH13" t="s">
        <v>63</v>
      </c>
      <c r="BI13" t="s">
        <v>257</v>
      </c>
      <c r="BJ13">
        <v>3</v>
      </c>
      <c r="BK13" t="s">
        <v>1198</v>
      </c>
      <c r="BL13" t="s">
        <v>376</v>
      </c>
      <c r="BM13" t="s">
        <v>73</v>
      </c>
      <c r="BN13">
        <v>10</v>
      </c>
      <c r="BO13" t="s">
        <v>316</v>
      </c>
      <c r="BP13">
        <v>700</v>
      </c>
      <c r="BQ13" t="s">
        <v>78</v>
      </c>
      <c r="BR13" t="s">
        <v>175</v>
      </c>
      <c r="BS13" t="s">
        <v>66</v>
      </c>
      <c r="BT13" t="s">
        <v>66</v>
      </c>
      <c r="BU13" t="s">
        <v>66</v>
      </c>
      <c r="BV13" t="s">
        <v>66</v>
      </c>
      <c r="BW13" t="s">
        <v>66</v>
      </c>
      <c r="BX13" t="s">
        <v>66</v>
      </c>
      <c r="BY13" t="s">
        <v>66</v>
      </c>
      <c r="BZ13" t="s">
        <v>66</v>
      </c>
      <c r="CA13" t="s">
        <v>66</v>
      </c>
      <c r="CB13" t="s">
        <v>66</v>
      </c>
      <c r="CC13" t="s">
        <v>66</v>
      </c>
      <c r="CD13" t="s">
        <v>66</v>
      </c>
      <c r="CE13" t="s">
        <v>66</v>
      </c>
      <c r="CF13" t="s">
        <v>66</v>
      </c>
      <c r="CG13" t="s">
        <v>66</v>
      </c>
      <c r="CH13" t="s">
        <v>66</v>
      </c>
      <c r="CI13" t="s">
        <v>66</v>
      </c>
      <c r="CJ13" s="3" t="s">
        <v>66</v>
      </c>
      <c r="CK13" s="3" t="s">
        <v>66</v>
      </c>
      <c r="CL13" s="3" t="s">
        <v>66</v>
      </c>
      <c r="CM13" s="3" t="s">
        <v>66</v>
      </c>
      <c r="CN13" s="3" t="s">
        <v>66</v>
      </c>
      <c r="CO13" s="3" t="s">
        <v>66</v>
      </c>
      <c r="CP13" s="3" t="s">
        <v>66</v>
      </c>
      <c r="CQ13" s="3" t="s">
        <v>66</v>
      </c>
      <c r="CR13" s="3" t="s">
        <v>66</v>
      </c>
      <c r="CS13" s="3" t="s">
        <v>66</v>
      </c>
      <c r="CT13" s="3" t="s">
        <v>66</v>
      </c>
      <c r="CU13" s="3" t="s">
        <v>66</v>
      </c>
      <c r="CV13" s="3" t="s">
        <v>1653</v>
      </c>
    </row>
    <row r="14" spans="1:100" x14ac:dyDescent="0.25">
      <c r="A14" t="s">
        <v>1654</v>
      </c>
      <c r="B14" t="s">
        <v>1106</v>
      </c>
      <c r="C14" s="1">
        <v>45826</v>
      </c>
      <c r="D14" t="s">
        <v>1655</v>
      </c>
      <c r="E14">
        <v>22082282</v>
      </c>
      <c r="F14">
        <v>38</v>
      </c>
      <c r="G14">
        <v>30</v>
      </c>
      <c r="H14" t="s">
        <v>851</v>
      </c>
      <c r="I14" t="s">
        <v>851</v>
      </c>
      <c r="J14" t="s">
        <v>1656</v>
      </c>
      <c r="K14" s="1">
        <v>26627</v>
      </c>
      <c r="L14" s="15">
        <f t="shared" si="0"/>
        <v>52</v>
      </c>
      <c r="M14" t="s">
        <v>59</v>
      </c>
      <c r="N14" t="s">
        <v>108</v>
      </c>
      <c r="O14" t="s">
        <v>322</v>
      </c>
      <c r="P14" t="s">
        <v>61</v>
      </c>
      <c r="Q14" t="s">
        <v>61</v>
      </c>
      <c r="R14" t="s">
        <v>62</v>
      </c>
      <c r="S14" t="s">
        <v>61</v>
      </c>
      <c r="T14" t="s">
        <v>1604</v>
      </c>
      <c r="U14" t="s">
        <v>61</v>
      </c>
      <c r="V14" t="s">
        <v>1723</v>
      </c>
      <c r="W14" t="s">
        <v>1724</v>
      </c>
      <c r="X14" t="s">
        <v>66</v>
      </c>
      <c r="Y14" t="s">
        <v>66</v>
      </c>
      <c r="Z14" t="s">
        <v>66</v>
      </c>
      <c r="AA14" t="s">
        <v>66</v>
      </c>
      <c r="AB14" t="s">
        <v>63</v>
      </c>
      <c r="AC14" t="s">
        <v>66</v>
      </c>
      <c r="AD14">
        <v>2</v>
      </c>
      <c r="AE14">
        <v>3</v>
      </c>
      <c r="AF14" t="s">
        <v>63</v>
      </c>
      <c r="AG14" t="s">
        <v>132</v>
      </c>
      <c r="AH14" t="s">
        <v>63</v>
      </c>
      <c r="AI14" t="s">
        <v>66</v>
      </c>
      <c r="AJ14" t="s">
        <v>61</v>
      </c>
      <c r="AK14" t="s">
        <v>66</v>
      </c>
      <c r="AL14" t="s">
        <v>61</v>
      </c>
      <c r="AM14" t="s">
        <v>66</v>
      </c>
      <c r="AN14">
        <v>1</v>
      </c>
      <c r="AO14" t="s">
        <v>61</v>
      </c>
      <c r="AP14" t="s">
        <v>1657</v>
      </c>
      <c r="AQ14" t="s">
        <v>1658</v>
      </c>
      <c r="AR14" t="s">
        <v>63</v>
      </c>
      <c r="AS14" t="s">
        <v>63</v>
      </c>
      <c r="AT14" t="s">
        <v>61</v>
      </c>
      <c r="AU14">
        <v>4</v>
      </c>
      <c r="AV14" t="s">
        <v>66</v>
      </c>
      <c r="AW14" t="s">
        <v>66</v>
      </c>
      <c r="AX14" t="s">
        <v>66</v>
      </c>
      <c r="AY14" t="s">
        <v>66</v>
      </c>
      <c r="AZ14" t="s">
        <v>66</v>
      </c>
      <c r="BA14" t="s">
        <v>66</v>
      </c>
      <c r="BB14">
        <v>204</v>
      </c>
      <c r="BC14" t="s">
        <v>70</v>
      </c>
      <c r="BD14">
        <v>2</v>
      </c>
      <c r="BE14" t="s">
        <v>871</v>
      </c>
      <c r="BF14" t="s">
        <v>104</v>
      </c>
      <c r="BG14" t="s">
        <v>71</v>
      </c>
      <c r="BH14" t="s">
        <v>63</v>
      </c>
      <c r="BI14" t="s">
        <v>624</v>
      </c>
      <c r="BJ14" s="3" t="s">
        <v>142</v>
      </c>
      <c r="BK14" t="s">
        <v>1198</v>
      </c>
      <c r="BL14">
        <v>30</v>
      </c>
      <c r="BM14" t="s">
        <v>143</v>
      </c>
      <c r="BN14" s="3" t="s">
        <v>420</v>
      </c>
      <c r="BO14">
        <v>100</v>
      </c>
      <c r="BP14">
        <v>1000</v>
      </c>
      <c r="BQ14" t="s">
        <v>78</v>
      </c>
      <c r="BR14" t="s">
        <v>1659</v>
      </c>
      <c r="BS14" t="s">
        <v>950</v>
      </c>
      <c r="BT14">
        <v>4</v>
      </c>
      <c r="BU14" t="s">
        <v>871</v>
      </c>
      <c r="BV14" t="s">
        <v>104</v>
      </c>
      <c r="BW14" t="s">
        <v>79</v>
      </c>
      <c r="BX14" t="s">
        <v>1416</v>
      </c>
      <c r="BY14" t="s">
        <v>462</v>
      </c>
      <c r="BZ14">
        <v>6</v>
      </c>
      <c r="CA14" t="s">
        <v>1660</v>
      </c>
      <c r="CB14">
        <v>7</v>
      </c>
      <c r="CC14" s="3" t="s">
        <v>142</v>
      </c>
      <c r="CD14" s="3" t="s">
        <v>222</v>
      </c>
      <c r="CE14" t="s">
        <v>1233</v>
      </c>
      <c r="CF14" t="s">
        <v>1261</v>
      </c>
      <c r="CG14" s="3" t="s">
        <v>78</v>
      </c>
      <c r="CH14" s="3" t="s">
        <v>221</v>
      </c>
      <c r="CI14" t="s">
        <v>66</v>
      </c>
      <c r="CJ14" s="3" t="s">
        <v>66</v>
      </c>
      <c r="CK14" s="3" t="s">
        <v>66</v>
      </c>
      <c r="CL14" s="3" t="s">
        <v>66</v>
      </c>
      <c r="CM14" s="3" t="s">
        <v>66</v>
      </c>
      <c r="CN14" s="3" t="s">
        <v>66</v>
      </c>
      <c r="CO14" s="3" t="s">
        <v>66</v>
      </c>
      <c r="CP14" s="3" t="s">
        <v>66</v>
      </c>
      <c r="CQ14" s="3" t="s">
        <v>66</v>
      </c>
      <c r="CR14" s="3" t="s">
        <v>66</v>
      </c>
      <c r="CS14" s="3" t="s">
        <v>66</v>
      </c>
      <c r="CT14" s="3" t="s">
        <v>66</v>
      </c>
      <c r="CU14" s="3" t="s">
        <v>66</v>
      </c>
    </row>
    <row r="15" spans="1:100" x14ac:dyDescent="0.25">
      <c r="A15" t="s">
        <v>1661</v>
      </c>
      <c r="B15" t="s">
        <v>1106</v>
      </c>
      <c r="C15" s="1">
        <v>45826</v>
      </c>
      <c r="D15" t="s">
        <v>1662</v>
      </c>
      <c r="E15">
        <v>30498807</v>
      </c>
      <c r="F15">
        <v>50</v>
      </c>
      <c r="G15">
        <v>40</v>
      </c>
      <c r="H15" t="s">
        <v>851</v>
      </c>
      <c r="I15" t="s">
        <v>851</v>
      </c>
      <c r="J15" t="s">
        <v>851</v>
      </c>
      <c r="K15" s="1">
        <v>23524</v>
      </c>
      <c r="L15" s="15">
        <f t="shared" si="0"/>
        <v>61</v>
      </c>
      <c r="M15" t="s">
        <v>59</v>
      </c>
      <c r="N15" t="s">
        <v>108</v>
      </c>
      <c r="O15" t="s">
        <v>322</v>
      </c>
      <c r="P15" t="s">
        <v>61</v>
      </c>
      <c r="Q15" t="s">
        <v>61</v>
      </c>
      <c r="R15" t="s">
        <v>62</v>
      </c>
      <c r="S15" t="s">
        <v>61</v>
      </c>
      <c r="T15" t="s">
        <v>1604</v>
      </c>
      <c r="U15" t="s">
        <v>61</v>
      </c>
      <c r="V15" t="s">
        <v>1723</v>
      </c>
      <c r="W15" t="s">
        <v>1724</v>
      </c>
      <c r="X15" t="s">
        <v>1335</v>
      </c>
      <c r="Y15" t="s">
        <v>1755</v>
      </c>
      <c r="Z15" t="s">
        <v>66</v>
      </c>
      <c r="AA15" t="s">
        <v>66</v>
      </c>
      <c r="AB15" t="s">
        <v>63</v>
      </c>
      <c r="AC15" t="s">
        <v>66</v>
      </c>
      <c r="AD15">
        <v>1</v>
      </c>
      <c r="AE15">
        <v>3</v>
      </c>
      <c r="AF15" t="s">
        <v>61</v>
      </c>
      <c r="AG15" t="s">
        <v>132</v>
      </c>
      <c r="AH15" t="s">
        <v>63</v>
      </c>
      <c r="AI15" t="s">
        <v>904</v>
      </c>
      <c r="AJ15" t="s">
        <v>61</v>
      </c>
      <c r="AK15" t="s">
        <v>66</v>
      </c>
      <c r="AL15" t="s">
        <v>63</v>
      </c>
      <c r="AM15" t="s">
        <v>1663</v>
      </c>
      <c r="AN15">
        <v>1</v>
      </c>
      <c r="AO15" t="s">
        <v>61</v>
      </c>
      <c r="AP15" t="s">
        <v>1664</v>
      </c>
      <c r="AQ15" t="s">
        <v>1665</v>
      </c>
      <c r="AR15" t="s">
        <v>63</v>
      </c>
      <c r="AS15" t="s">
        <v>63</v>
      </c>
      <c r="AT15" t="s">
        <v>61</v>
      </c>
      <c r="AU15">
        <v>5</v>
      </c>
      <c r="AV15" t="s">
        <v>66</v>
      </c>
      <c r="AW15" t="s">
        <v>66</v>
      </c>
      <c r="AX15" t="s">
        <v>66</v>
      </c>
      <c r="AY15" t="s">
        <v>66</v>
      </c>
      <c r="AZ15" t="s">
        <v>66</v>
      </c>
      <c r="BA15" t="s">
        <v>66</v>
      </c>
      <c r="BB15" t="s">
        <v>1666</v>
      </c>
      <c r="BC15" t="s">
        <v>70</v>
      </c>
      <c r="BD15">
        <v>3</v>
      </c>
      <c r="BE15" t="s">
        <v>525</v>
      </c>
      <c r="BF15" t="s">
        <v>104</v>
      </c>
      <c r="BG15" t="s">
        <v>71</v>
      </c>
      <c r="BH15" t="s">
        <v>63</v>
      </c>
      <c r="BI15" t="s">
        <v>254</v>
      </c>
      <c r="BJ15" s="3" t="s">
        <v>77</v>
      </c>
      <c r="BK15" t="s">
        <v>870</v>
      </c>
      <c r="BL15" s="3" t="s">
        <v>76</v>
      </c>
      <c r="BM15" t="s">
        <v>143</v>
      </c>
      <c r="BN15" s="3" t="s">
        <v>467</v>
      </c>
      <c r="BO15" t="s">
        <v>1667</v>
      </c>
      <c r="BP15" t="s">
        <v>502</v>
      </c>
      <c r="BQ15" t="s">
        <v>78</v>
      </c>
      <c r="BR15" t="s">
        <v>136</v>
      </c>
      <c r="BS15" t="s">
        <v>950</v>
      </c>
      <c r="BT15">
        <v>4</v>
      </c>
      <c r="BU15" t="s">
        <v>136</v>
      </c>
      <c r="BV15" t="s">
        <v>104</v>
      </c>
      <c r="BW15" t="s">
        <v>79</v>
      </c>
      <c r="BX15" t="s">
        <v>1668</v>
      </c>
      <c r="BY15" t="s">
        <v>554</v>
      </c>
      <c r="BZ15" s="3" t="s">
        <v>837</v>
      </c>
      <c r="CA15" t="s">
        <v>1669</v>
      </c>
      <c r="CB15" s="3" t="s">
        <v>77</v>
      </c>
      <c r="CC15" s="3" t="s">
        <v>142</v>
      </c>
      <c r="CD15" s="3" t="s">
        <v>77</v>
      </c>
      <c r="CE15" t="s">
        <v>675</v>
      </c>
      <c r="CF15" t="s">
        <v>1670</v>
      </c>
      <c r="CG15" s="3" t="s">
        <v>78</v>
      </c>
      <c r="CH15" s="3" t="s">
        <v>623</v>
      </c>
      <c r="CI15" t="s">
        <v>66</v>
      </c>
      <c r="CJ15" s="3" t="s">
        <v>66</v>
      </c>
      <c r="CK15" s="3" t="s">
        <v>66</v>
      </c>
      <c r="CL15" s="3" t="s">
        <v>66</v>
      </c>
      <c r="CM15" s="3" t="s">
        <v>66</v>
      </c>
      <c r="CN15" s="3" t="s">
        <v>66</v>
      </c>
      <c r="CO15" s="3" t="s">
        <v>66</v>
      </c>
      <c r="CP15" s="3" t="s">
        <v>66</v>
      </c>
      <c r="CQ15" s="3" t="s">
        <v>66</v>
      </c>
      <c r="CR15" s="3" t="s">
        <v>66</v>
      </c>
      <c r="CS15" s="3" t="s">
        <v>66</v>
      </c>
      <c r="CT15" s="3" t="s">
        <v>66</v>
      </c>
      <c r="CU15" s="3" t="s">
        <v>66</v>
      </c>
      <c r="CV15" s="3" t="s">
        <v>1671</v>
      </c>
    </row>
    <row r="16" spans="1:100" x14ac:dyDescent="0.25">
      <c r="A16" t="s">
        <v>1672</v>
      </c>
      <c r="B16" t="s">
        <v>769</v>
      </c>
      <c r="C16" s="1">
        <v>45898</v>
      </c>
      <c r="D16" t="s">
        <v>1673</v>
      </c>
      <c r="E16">
        <v>77157908</v>
      </c>
      <c r="F16">
        <v>15</v>
      </c>
      <c r="G16">
        <v>10</v>
      </c>
      <c r="H16" t="s">
        <v>851</v>
      </c>
      <c r="I16" t="s">
        <v>851</v>
      </c>
      <c r="J16" t="s">
        <v>851</v>
      </c>
      <c r="K16" s="1">
        <v>35617</v>
      </c>
      <c r="L16" s="15">
        <f t="shared" si="0"/>
        <v>28</v>
      </c>
      <c r="M16" t="s">
        <v>59</v>
      </c>
      <c r="N16" t="s">
        <v>108</v>
      </c>
      <c r="O16" t="s">
        <v>60</v>
      </c>
      <c r="P16" t="s">
        <v>61</v>
      </c>
      <c r="Q16" t="s">
        <v>61</v>
      </c>
      <c r="R16" t="s">
        <v>285</v>
      </c>
      <c r="S16" t="s">
        <v>61</v>
      </c>
      <c r="T16" t="s">
        <v>1604</v>
      </c>
      <c r="U16" t="s">
        <v>61</v>
      </c>
      <c r="V16" t="s">
        <v>1723</v>
      </c>
      <c r="W16" t="s">
        <v>1724</v>
      </c>
      <c r="X16" t="s">
        <v>66</v>
      </c>
      <c r="Y16" t="s">
        <v>66</v>
      </c>
      <c r="Z16" t="s">
        <v>66</v>
      </c>
      <c r="AA16" t="s">
        <v>66</v>
      </c>
      <c r="AB16" t="s">
        <v>63</v>
      </c>
      <c r="AC16" t="s">
        <v>66</v>
      </c>
      <c r="AD16">
        <v>4</v>
      </c>
      <c r="AE16">
        <v>2</v>
      </c>
      <c r="AF16" t="s">
        <v>61</v>
      </c>
      <c r="AG16" t="s">
        <v>132</v>
      </c>
      <c r="AH16" t="s">
        <v>63</v>
      </c>
      <c r="AI16" t="s">
        <v>66</v>
      </c>
      <c r="AJ16" t="s">
        <v>63</v>
      </c>
      <c r="AK16" t="s">
        <v>1674</v>
      </c>
      <c r="AL16" t="s">
        <v>63</v>
      </c>
      <c r="AM16" t="s">
        <v>1675</v>
      </c>
      <c r="AN16">
        <v>1</v>
      </c>
      <c r="AO16" t="s">
        <v>61</v>
      </c>
      <c r="AP16" t="s">
        <v>1676</v>
      </c>
      <c r="AQ16" t="s">
        <v>1677</v>
      </c>
      <c r="AR16" t="s">
        <v>63</v>
      </c>
      <c r="AS16" t="s">
        <v>63</v>
      </c>
      <c r="AT16" t="s">
        <v>61</v>
      </c>
      <c r="AU16">
        <v>8</v>
      </c>
      <c r="AV16" t="s">
        <v>66</v>
      </c>
      <c r="AW16" t="s">
        <v>66</v>
      </c>
      <c r="AX16" t="s">
        <v>66</v>
      </c>
      <c r="AY16" t="s">
        <v>66</v>
      </c>
      <c r="AZ16" t="s">
        <v>66</v>
      </c>
      <c r="BA16" t="s">
        <v>66</v>
      </c>
      <c r="BB16" t="s">
        <v>1678</v>
      </c>
      <c r="BC16" t="s">
        <v>70</v>
      </c>
      <c r="BD16">
        <v>3</v>
      </c>
      <c r="BE16" t="s">
        <v>247</v>
      </c>
      <c r="BF16" t="s">
        <v>104</v>
      </c>
      <c r="BG16" t="s">
        <v>71</v>
      </c>
      <c r="BH16" t="s">
        <v>63</v>
      </c>
      <c r="BI16" t="s">
        <v>257</v>
      </c>
      <c r="BJ16" s="3" t="s">
        <v>225</v>
      </c>
      <c r="BK16" t="s">
        <v>948</v>
      </c>
      <c r="BL16">
        <v>30</v>
      </c>
      <c r="BM16" t="s">
        <v>73</v>
      </c>
      <c r="BN16" s="3" t="s">
        <v>796</v>
      </c>
      <c r="BO16" t="s">
        <v>1587</v>
      </c>
      <c r="BP16" t="s">
        <v>1313</v>
      </c>
      <c r="BQ16" t="s">
        <v>970</v>
      </c>
      <c r="BR16" t="s">
        <v>1064</v>
      </c>
      <c r="BS16" t="s">
        <v>950</v>
      </c>
      <c r="BT16" s="3" t="s">
        <v>225</v>
      </c>
      <c r="BU16" t="s">
        <v>247</v>
      </c>
      <c r="BV16" t="s">
        <v>104</v>
      </c>
      <c r="BW16" t="s">
        <v>79</v>
      </c>
      <c r="BX16" t="s">
        <v>1081</v>
      </c>
      <c r="BY16" t="s">
        <v>257</v>
      </c>
      <c r="BZ16" s="3" t="s">
        <v>77</v>
      </c>
      <c r="CA16" t="s">
        <v>1679</v>
      </c>
      <c r="CB16">
        <v>15</v>
      </c>
      <c r="CC16" t="s">
        <v>143</v>
      </c>
      <c r="CD16" s="3" t="s">
        <v>763</v>
      </c>
      <c r="CE16" t="s">
        <v>985</v>
      </c>
      <c r="CF16" t="s">
        <v>1201</v>
      </c>
      <c r="CG16" s="3" t="s">
        <v>970</v>
      </c>
      <c r="CH16" s="3" t="s">
        <v>488</v>
      </c>
      <c r="CI16" t="s">
        <v>950</v>
      </c>
      <c r="CJ16" s="3" t="s">
        <v>1680</v>
      </c>
      <c r="CK16" s="3" t="s">
        <v>1681</v>
      </c>
      <c r="CL16" s="3" t="s">
        <v>1682</v>
      </c>
      <c r="CM16" s="3" t="s">
        <v>77</v>
      </c>
      <c r="CN16" t="s">
        <v>1683</v>
      </c>
      <c r="CO16" s="3" t="s">
        <v>1535</v>
      </c>
      <c r="CP16" s="3" t="s">
        <v>370</v>
      </c>
      <c r="CQ16" s="3" t="s">
        <v>1535</v>
      </c>
      <c r="CR16" s="3" t="s">
        <v>493</v>
      </c>
      <c r="CS16" s="3" t="s">
        <v>256</v>
      </c>
      <c r="CT16" s="3" t="s">
        <v>970</v>
      </c>
      <c r="CU16" s="3" t="s">
        <v>66</v>
      </c>
      <c r="CV16" s="3" t="s">
        <v>1684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118A-CCD2-45AA-AA6E-731DEBCBAE2F}">
  <dimension ref="A1:U209"/>
  <sheetViews>
    <sheetView zoomScaleNormal="100" workbookViewId="0">
      <selection activeCell="D66" sqref="D66"/>
    </sheetView>
  </sheetViews>
  <sheetFormatPr defaultRowHeight="15" x14ac:dyDescent="0.25"/>
  <cols>
    <col min="1" max="1" width="11.42578125"/>
    <col min="2" max="3" width="6" customWidth="1"/>
    <col min="4" max="4" width="10.42578125" style="8" bestFit="1" customWidth="1"/>
    <col min="8" max="8" width="11.42578125"/>
    <col min="9" max="9" width="13.42578125" customWidth="1"/>
    <col min="15" max="15" width="11.42578125"/>
    <col min="16" max="16" width="13.42578125" customWidth="1"/>
    <col min="17" max="17" width="12.28515625" bestFit="1" customWidth="1"/>
  </cols>
  <sheetData>
    <row r="1" spans="1:19" x14ac:dyDescent="0.25">
      <c r="A1" s="11" t="s">
        <v>825</v>
      </c>
    </row>
    <row r="2" spans="1:19" x14ac:dyDescent="0.25">
      <c r="B2" t="s">
        <v>828</v>
      </c>
      <c r="C2" t="s">
        <v>829</v>
      </c>
      <c r="D2" s="8" t="s">
        <v>831</v>
      </c>
      <c r="F2" t="s">
        <v>835</v>
      </c>
      <c r="G2" t="s">
        <v>836</v>
      </c>
    </row>
    <row r="3" spans="1:19" x14ac:dyDescent="0.25">
      <c r="A3" t="s">
        <v>96</v>
      </c>
      <c r="B3" s="4">
        <v>7</v>
      </c>
      <c r="C3">
        <v>7</v>
      </c>
      <c r="D3" s="8">
        <f>AVERAGE(C3,B3)</f>
        <v>7</v>
      </c>
      <c r="F3">
        <v>4</v>
      </c>
      <c r="G3">
        <f>COUNTIF('Dias de faena'!$D$3:$D$23,"4")</f>
        <v>3</v>
      </c>
      <c r="Q3" s="3"/>
      <c r="S3" s="3"/>
    </row>
    <row r="4" spans="1:19" x14ac:dyDescent="0.25">
      <c r="A4" t="s">
        <v>96</v>
      </c>
      <c r="B4" s="4" t="s">
        <v>315</v>
      </c>
      <c r="C4">
        <v>4</v>
      </c>
      <c r="D4" s="8">
        <f t="shared" ref="D4:D67" si="0">AVERAGE(C4,B4)</f>
        <v>4</v>
      </c>
      <c r="F4">
        <v>5</v>
      </c>
      <c r="G4">
        <f>COUNTIF('Dias de faena'!$D$3:$D$23,"5")</f>
        <v>2</v>
      </c>
      <c r="Q4" s="3"/>
    </row>
    <row r="5" spans="1:19" x14ac:dyDescent="0.25">
      <c r="A5" t="s">
        <v>96</v>
      </c>
      <c r="B5" s="4" t="s">
        <v>258</v>
      </c>
      <c r="C5">
        <v>5</v>
      </c>
      <c r="D5" s="8">
        <f t="shared" si="0"/>
        <v>5</v>
      </c>
      <c r="F5">
        <v>6</v>
      </c>
      <c r="G5">
        <f>COUNTIF('Dias de faena'!$D$3:$D$23,"6")</f>
        <v>2</v>
      </c>
      <c r="I5" s="3"/>
      <c r="P5" s="3"/>
      <c r="Q5" s="3"/>
    </row>
    <row r="6" spans="1:19" x14ac:dyDescent="0.25">
      <c r="A6" t="s">
        <v>96</v>
      </c>
      <c r="B6" s="4" t="s">
        <v>258</v>
      </c>
      <c r="C6">
        <v>7</v>
      </c>
      <c r="D6" s="8">
        <f t="shared" si="0"/>
        <v>7</v>
      </c>
      <c r="F6">
        <v>7</v>
      </c>
      <c r="G6">
        <f>COUNTIF('Dias de faena'!$D$3:$D$23,"7")</f>
        <v>14</v>
      </c>
      <c r="Q6" s="3"/>
    </row>
    <row r="7" spans="1:19" x14ac:dyDescent="0.25">
      <c r="A7" t="s">
        <v>96</v>
      </c>
      <c r="B7" s="4" t="s">
        <v>274</v>
      </c>
      <c r="C7">
        <v>7</v>
      </c>
      <c r="D7" s="8">
        <f t="shared" si="0"/>
        <v>7</v>
      </c>
      <c r="H7" s="4"/>
      <c r="I7" s="4"/>
      <c r="O7" s="4"/>
      <c r="P7" s="4"/>
      <c r="Q7" s="3"/>
    </row>
    <row r="8" spans="1:19" x14ac:dyDescent="0.25">
      <c r="A8" t="s">
        <v>96</v>
      </c>
      <c r="B8" s="4" t="s">
        <v>315</v>
      </c>
      <c r="C8">
        <v>7</v>
      </c>
      <c r="D8" s="8">
        <f t="shared" si="0"/>
        <v>7</v>
      </c>
      <c r="I8" s="3"/>
      <c r="P8" s="3"/>
      <c r="Q8" s="4"/>
    </row>
    <row r="9" spans="1:19" x14ac:dyDescent="0.25">
      <c r="A9" t="s">
        <v>96</v>
      </c>
      <c r="B9" s="4" t="s">
        <v>274</v>
      </c>
      <c r="C9">
        <v>7</v>
      </c>
      <c r="D9" s="8">
        <f t="shared" si="0"/>
        <v>7</v>
      </c>
      <c r="H9" s="4"/>
      <c r="I9" s="4"/>
      <c r="O9" s="4"/>
      <c r="P9" s="4"/>
      <c r="Q9" s="3"/>
    </row>
    <row r="10" spans="1:19" x14ac:dyDescent="0.25">
      <c r="A10" t="s">
        <v>96</v>
      </c>
      <c r="B10" s="4" t="s">
        <v>274</v>
      </c>
      <c r="C10">
        <v>7</v>
      </c>
      <c r="D10" s="8">
        <f t="shared" si="0"/>
        <v>7</v>
      </c>
      <c r="H10" s="4"/>
      <c r="I10" s="4"/>
      <c r="O10" s="4"/>
      <c r="P10" s="4"/>
      <c r="Q10" s="4"/>
    </row>
    <row r="11" spans="1:19" x14ac:dyDescent="0.25">
      <c r="A11" t="s">
        <v>96</v>
      </c>
      <c r="B11" s="4" t="s">
        <v>315</v>
      </c>
      <c r="C11">
        <v>4</v>
      </c>
      <c r="D11" s="8">
        <f t="shared" si="0"/>
        <v>4</v>
      </c>
      <c r="H11" s="4"/>
      <c r="I11" s="3"/>
      <c r="O11" s="4"/>
      <c r="P11" s="3"/>
      <c r="Q11" s="3"/>
    </row>
    <row r="12" spans="1:19" x14ac:dyDescent="0.25">
      <c r="A12" t="s">
        <v>96</v>
      </c>
      <c r="B12" s="4" t="s">
        <v>279</v>
      </c>
      <c r="C12">
        <v>7</v>
      </c>
      <c r="D12" s="8">
        <f t="shared" si="0"/>
        <v>7</v>
      </c>
      <c r="H12" s="4"/>
      <c r="I12" s="4"/>
      <c r="O12" s="4"/>
      <c r="P12" s="4"/>
      <c r="Q12" s="3"/>
    </row>
    <row r="13" spans="1:19" x14ac:dyDescent="0.25">
      <c r="A13" t="s">
        <v>96</v>
      </c>
      <c r="B13" s="4" t="s">
        <v>315</v>
      </c>
      <c r="C13">
        <v>7</v>
      </c>
      <c r="D13" s="8">
        <f t="shared" si="0"/>
        <v>7</v>
      </c>
      <c r="H13" s="4"/>
      <c r="I13" s="4"/>
      <c r="O13" s="4"/>
      <c r="P13" s="4"/>
      <c r="Q13" s="3"/>
    </row>
    <row r="14" spans="1:19" x14ac:dyDescent="0.25">
      <c r="A14" t="s">
        <v>96</v>
      </c>
      <c r="B14" s="4" t="s">
        <v>830</v>
      </c>
      <c r="C14">
        <v>7</v>
      </c>
      <c r="D14" s="8">
        <f t="shared" si="0"/>
        <v>7</v>
      </c>
      <c r="H14" s="4"/>
      <c r="I14" s="4"/>
      <c r="O14" s="4"/>
      <c r="P14" s="4"/>
      <c r="Q14" s="3"/>
    </row>
    <row r="15" spans="1:19" x14ac:dyDescent="0.25">
      <c r="A15" t="s">
        <v>96</v>
      </c>
      <c r="B15" s="4" t="s">
        <v>274</v>
      </c>
      <c r="C15">
        <v>7</v>
      </c>
      <c r="D15" s="8">
        <f t="shared" si="0"/>
        <v>7</v>
      </c>
      <c r="I15" s="3"/>
      <c r="P15" s="3"/>
      <c r="Q15" s="4"/>
    </row>
    <row r="16" spans="1:19" x14ac:dyDescent="0.25">
      <c r="A16" t="s">
        <v>96</v>
      </c>
      <c r="B16" s="4" t="s">
        <v>279</v>
      </c>
      <c r="C16">
        <v>6</v>
      </c>
      <c r="D16" s="8">
        <f t="shared" si="0"/>
        <v>6</v>
      </c>
      <c r="H16" s="4"/>
      <c r="I16" s="4"/>
      <c r="O16" s="4"/>
      <c r="P16" s="4"/>
      <c r="Q16" s="3"/>
    </row>
    <row r="17" spans="1:21" x14ac:dyDescent="0.25">
      <c r="A17" t="s">
        <v>96</v>
      </c>
      <c r="B17" s="4" t="s">
        <v>274</v>
      </c>
      <c r="C17">
        <v>7</v>
      </c>
      <c r="D17" s="8">
        <f t="shared" si="0"/>
        <v>7</v>
      </c>
      <c r="H17" s="4"/>
      <c r="I17" s="4"/>
      <c r="O17" s="4"/>
      <c r="P17" s="4"/>
      <c r="Q17" s="3"/>
    </row>
    <row r="18" spans="1:21" x14ac:dyDescent="0.25">
      <c r="A18" t="s">
        <v>96</v>
      </c>
      <c r="B18" s="4" t="s">
        <v>258</v>
      </c>
      <c r="C18">
        <v>7</v>
      </c>
      <c r="D18" s="8">
        <f t="shared" si="0"/>
        <v>7</v>
      </c>
      <c r="H18" s="4"/>
      <c r="I18" s="4"/>
      <c r="O18" s="4"/>
      <c r="P18" s="4"/>
      <c r="Q18" s="4"/>
    </row>
    <row r="19" spans="1:21" x14ac:dyDescent="0.25">
      <c r="A19" t="s">
        <v>96</v>
      </c>
      <c r="B19" s="3" t="s">
        <v>170</v>
      </c>
      <c r="C19">
        <v>6</v>
      </c>
      <c r="D19" s="8">
        <f t="shared" si="0"/>
        <v>6</v>
      </c>
      <c r="H19" s="4"/>
      <c r="I19" s="4"/>
      <c r="O19" s="4"/>
      <c r="P19" s="4"/>
      <c r="Q19" s="3"/>
    </row>
    <row r="20" spans="1:21" x14ac:dyDescent="0.25">
      <c r="A20" t="s">
        <v>96</v>
      </c>
      <c r="B20" s="3" t="s">
        <v>258</v>
      </c>
      <c r="C20">
        <v>5</v>
      </c>
      <c r="D20" s="8">
        <f t="shared" si="0"/>
        <v>5</v>
      </c>
      <c r="H20" s="4"/>
      <c r="I20" s="4"/>
      <c r="O20" s="4"/>
      <c r="P20" s="4"/>
      <c r="Q20" s="4"/>
    </row>
    <row r="21" spans="1:21" x14ac:dyDescent="0.25">
      <c r="A21" t="s">
        <v>96</v>
      </c>
      <c r="B21" s="3" t="s">
        <v>170</v>
      </c>
      <c r="C21">
        <v>7</v>
      </c>
      <c r="D21" s="8">
        <f t="shared" si="0"/>
        <v>7</v>
      </c>
      <c r="H21" s="4"/>
      <c r="I21" s="4"/>
      <c r="O21" s="4"/>
      <c r="P21" s="4"/>
      <c r="Q21" s="3"/>
    </row>
    <row r="22" spans="1:21" x14ac:dyDescent="0.25">
      <c r="A22" t="s">
        <v>96</v>
      </c>
      <c r="B22">
        <v>7</v>
      </c>
      <c r="C22">
        <v>7</v>
      </c>
      <c r="D22" s="8">
        <f t="shared" si="0"/>
        <v>7</v>
      </c>
      <c r="H22" s="4"/>
      <c r="I22" s="4"/>
      <c r="O22" s="4"/>
      <c r="P22" s="4"/>
    </row>
    <row r="23" spans="1:21" ht="15.75" thickBot="1" x14ac:dyDescent="0.3">
      <c r="A23" s="12" t="s">
        <v>96</v>
      </c>
      <c r="B23">
        <v>4</v>
      </c>
      <c r="C23">
        <v>4</v>
      </c>
      <c r="D23" s="8">
        <f t="shared" si="0"/>
        <v>4</v>
      </c>
      <c r="H23" s="4"/>
      <c r="I23" s="4"/>
      <c r="O23" s="4"/>
      <c r="P23" s="4"/>
      <c r="Q23" s="4"/>
      <c r="U23" t="s">
        <v>96</v>
      </c>
    </row>
    <row r="24" spans="1:21" x14ac:dyDescent="0.25">
      <c r="A24" t="s">
        <v>163</v>
      </c>
      <c r="B24" s="4" t="s">
        <v>258</v>
      </c>
      <c r="C24">
        <v>5</v>
      </c>
      <c r="D24" s="8">
        <f t="shared" si="0"/>
        <v>5</v>
      </c>
      <c r="F24" t="s">
        <v>835</v>
      </c>
      <c r="G24" t="s">
        <v>836</v>
      </c>
      <c r="H24" s="4"/>
      <c r="I24" t="s">
        <v>835</v>
      </c>
      <c r="J24" t="s">
        <v>836</v>
      </c>
      <c r="O24" s="4"/>
      <c r="P24" s="4"/>
      <c r="Q24" s="4"/>
      <c r="U24" t="s">
        <v>163</v>
      </c>
    </row>
    <row r="25" spans="1:21" x14ac:dyDescent="0.25">
      <c r="A25" t="s">
        <v>163</v>
      </c>
      <c r="B25" s="4" t="s">
        <v>274</v>
      </c>
      <c r="C25">
        <v>7</v>
      </c>
      <c r="D25" s="8">
        <f t="shared" si="0"/>
        <v>7</v>
      </c>
      <c r="F25">
        <v>5</v>
      </c>
      <c r="G25">
        <f>COUNTIF('Dias de faena'!$D$24:$D$42,F25)</f>
        <v>2</v>
      </c>
      <c r="H25" s="4"/>
      <c r="I25" s="3" t="s">
        <v>837</v>
      </c>
      <c r="J25">
        <f>SUM(G25:G26)</f>
        <v>2</v>
      </c>
      <c r="O25" s="4"/>
      <c r="P25" s="3"/>
      <c r="U25" t="s">
        <v>79</v>
      </c>
    </row>
    <row r="26" spans="1:21" x14ac:dyDescent="0.25">
      <c r="A26" t="s">
        <v>163</v>
      </c>
      <c r="B26" s="4" t="s">
        <v>258</v>
      </c>
      <c r="C26">
        <v>4</v>
      </c>
      <c r="D26" s="8">
        <f t="shared" si="0"/>
        <v>4</v>
      </c>
      <c r="F26">
        <v>6</v>
      </c>
      <c r="G26">
        <f>COUNTIF('Dias de faena'!$D$24:$D$42,F26)</f>
        <v>0</v>
      </c>
      <c r="H26" s="4"/>
      <c r="I26" s="3" t="s">
        <v>420</v>
      </c>
      <c r="J26">
        <f>SUM(G27:G29)</f>
        <v>7</v>
      </c>
      <c r="O26" s="4"/>
      <c r="P26" s="4"/>
      <c r="U26" t="s">
        <v>71</v>
      </c>
    </row>
    <row r="27" spans="1:21" x14ac:dyDescent="0.25">
      <c r="A27" t="s">
        <v>163</v>
      </c>
      <c r="B27" s="4" t="s">
        <v>258</v>
      </c>
      <c r="C27">
        <v>11</v>
      </c>
      <c r="D27" s="14">
        <f>AVERAGE(B27,C27)</f>
        <v>11</v>
      </c>
      <c r="F27">
        <v>7</v>
      </c>
      <c r="G27">
        <f>COUNTIF('Dias de faena'!$D$24:$D$42,F27)</f>
        <v>6</v>
      </c>
      <c r="H27" s="4"/>
      <c r="I27" s="3" t="s">
        <v>84</v>
      </c>
      <c r="J27">
        <f>SUM(G30:G32)</f>
        <v>2</v>
      </c>
      <c r="O27" s="4"/>
      <c r="P27" s="4"/>
      <c r="U27" t="s">
        <v>393</v>
      </c>
    </row>
    <row r="28" spans="1:21" x14ac:dyDescent="0.25">
      <c r="A28" t="s">
        <v>163</v>
      </c>
      <c r="B28" s="4" t="s">
        <v>314</v>
      </c>
      <c r="C28">
        <v>15</v>
      </c>
      <c r="D28" s="8">
        <f t="shared" si="0"/>
        <v>15</v>
      </c>
      <c r="F28">
        <v>8</v>
      </c>
      <c r="G28">
        <f>COUNTIF('Dias de faena'!$D$24:$D$42,F28)</f>
        <v>1</v>
      </c>
      <c r="I28" s="3" t="s">
        <v>838</v>
      </c>
      <c r="J28">
        <f>SUM(G33:G35)</f>
        <v>4</v>
      </c>
      <c r="O28" s="4"/>
      <c r="P28" s="4"/>
      <c r="U28" t="s">
        <v>1525</v>
      </c>
    </row>
    <row r="29" spans="1:21" x14ac:dyDescent="0.25">
      <c r="A29" t="s">
        <v>163</v>
      </c>
      <c r="B29" s="4" t="s">
        <v>258</v>
      </c>
      <c r="C29">
        <v>22</v>
      </c>
      <c r="D29" s="8">
        <f t="shared" si="0"/>
        <v>22</v>
      </c>
      <c r="F29">
        <v>9</v>
      </c>
      <c r="G29">
        <f>COUNTIF('Dias de faena'!$D$24:$D$42,F29)</f>
        <v>0</v>
      </c>
      <c r="I29" s="3" t="s">
        <v>839</v>
      </c>
      <c r="J29">
        <f>SUM(G36:G38)</f>
        <v>0</v>
      </c>
      <c r="O29" s="4"/>
      <c r="P29" s="4"/>
      <c r="U29" t="s">
        <v>1526</v>
      </c>
    </row>
    <row r="30" spans="1:21" x14ac:dyDescent="0.25">
      <c r="A30" t="s">
        <v>163</v>
      </c>
      <c r="B30" s="4" t="s">
        <v>274</v>
      </c>
      <c r="C30">
        <v>7</v>
      </c>
      <c r="D30" s="8">
        <f t="shared" si="0"/>
        <v>7</v>
      </c>
      <c r="F30">
        <v>10</v>
      </c>
      <c r="G30">
        <f>COUNTIF('Dias de faena'!$D$24:$D$42,F30)</f>
        <v>1</v>
      </c>
      <c r="I30" s="3" t="s">
        <v>840</v>
      </c>
      <c r="J30">
        <f>SUM(G39:G42)</f>
        <v>3</v>
      </c>
      <c r="O30" s="4"/>
      <c r="P30" s="4"/>
    </row>
    <row r="31" spans="1:21" x14ac:dyDescent="0.25">
      <c r="A31" t="s">
        <v>163</v>
      </c>
      <c r="B31" s="4" t="s">
        <v>315</v>
      </c>
      <c r="C31">
        <v>20</v>
      </c>
      <c r="D31" s="8">
        <f t="shared" si="0"/>
        <v>20</v>
      </c>
      <c r="F31">
        <v>11</v>
      </c>
      <c r="G31">
        <f>COUNTIF('Dias de faena'!$D$24:$D$42,F31)</f>
        <v>1</v>
      </c>
      <c r="I31" s="3"/>
      <c r="O31" s="4"/>
      <c r="P31" s="4"/>
      <c r="Q31" s="4"/>
    </row>
    <row r="32" spans="1:21" x14ac:dyDescent="0.25">
      <c r="A32" t="s">
        <v>163</v>
      </c>
      <c r="B32" s="4" t="s">
        <v>315</v>
      </c>
      <c r="C32">
        <v>7</v>
      </c>
      <c r="D32" s="8">
        <f t="shared" si="0"/>
        <v>7</v>
      </c>
      <c r="F32">
        <v>12</v>
      </c>
      <c r="G32">
        <f>COUNTIF('Dias de faena'!$D$24:$D$42,F32)</f>
        <v>0</v>
      </c>
      <c r="Q32" s="4"/>
    </row>
    <row r="33" spans="1:17" x14ac:dyDescent="0.25">
      <c r="A33" t="s">
        <v>163</v>
      </c>
      <c r="B33" s="4" t="s">
        <v>279</v>
      </c>
      <c r="C33">
        <v>15</v>
      </c>
      <c r="D33" s="14">
        <f t="shared" si="0"/>
        <v>15</v>
      </c>
      <c r="F33">
        <v>13</v>
      </c>
      <c r="G33">
        <f>COUNTIF('Dias de faena'!$D$24:$D$42,F33)</f>
        <v>0</v>
      </c>
      <c r="O33" s="4"/>
      <c r="P33" s="4"/>
      <c r="Q33" s="4"/>
    </row>
    <row r="34" spans="1:17" x14ac:dyDescent="0.25">
      <c r="A34" t="s">
        <v>163</v>
      </c>
      <c r="B34" s="4" t="s">
        <v>144</v>
      </c>
      <c r="C34">
        <v>10</v>
      </c>
      <c r="D34" s="14">
        <f t="shared" si="0"/>
        <v>10</v>
      </c>
      <c r="F34">
        <v>14</v>
      </c>
      <c r="G34">
        <f>COUNTIF('Dias de faena'!$D$24:$D$42,F34)</f>
        <v>0</v>
      </c>
      <c r="O34" s="4"/>
      <c r="P34" s="4"/>
      <c r="Q34" s="4"/>
    </row>
    <row r="35" spans="1:17" x14ac:dyDescent="0.25">
      <c r="A35" t="s">
        <v>163</v>
      </c>
      <c r="B35" s="3" t="s">
        <v>258</v>
      </c>
      <c r="C35">
        <v>5</v>
      </c>
      <c r="D35" s="14">
        <f t="shared" si="0"/>
        <v>5</v>
      </c>
      <c r="F35">
        <v>15</v>
      </c>
      <c r="G35">
        <f>COUNTIF('Dias de faena'!$D$24:$D$42,F35)</f>
        <v>4</v>
      </c>
      <c r="O35" s="4"/>
      <c r="P35" s="4"/>
      <c r="Q35" s="4"/>
    </row>
    <row r="36" spans="1:17" x14ac:dyDescent="0.25">
      <c r="A36" t="s">
        <v>163</v>
      </c>
      <c r="B36" s="3" t="s">
        <v>274</v>
      </c>
      <c r="C36">
        <v>7</v>
      </c>
      <c r="D36" s="14">
        <f t="shared" si="0"/>
        <v>7</v>
      </c>
      <c r="F36">
        <v>16</v>
      </c>
      <c r="G36">
        <f>COUNTIF('Dias de faena'!$D$24:$D$42,F36)</f>
        <v>0</v>
      </c>
      <c r="O36" s="4"/>
      <c r="P36" s="4"/>
    </row>
    <row r="37" spans="1:17" x14ac:dyDescent="0.25">
      <c r="A37" t="s">
        <v>163</v>
      </c>
      <c r="B37" s="3" t="s">
        <v>315</v>
      </c>
      <c r="C37">
        <v>7</v>
      </c>
      <c r="D37" s="14">
        <f t="shared" si="0"/>
        <v>7</v>
      </c>
      <c r="F37">
        <v>17</v>
      </c>
      <c r="G37">
        <f>COUNTIF('Dias de faena'!$D$24:$D$42,F37)</f>
        <v>0</v>
      </c>
      <c r="O37" s="4"/>
      <c r="P37" s="4"/>
    </row>
    <row r="38" spans="1:17" x14ac:dyDescent="0.25">
      <c r="A38" t="s">
        <v>163</v>
      </c>
      <c r="B38" s="4" t="s">
        <v>258</v>
      </c>
      <c r="C38">
        <v>15</v>
      </c>
      <c r="D38" s="14">
        <f t="shared" si="0"/>
        <v>15</v>
      </c>
      <c r="F38">
        <v>18</v>
      </c>
      <c r="G38">
        <f>COUNTIF('Dias de faena'!$D$24:$D$42,F38)</f>
        <v>0</v>
      </c>
      <c r="O38" s="4"/>
      <c r="P38" s="4"/>
    </row>
    <row r="39" spans="1:17" x14ac:dyDescent="0.25">
      <c r="A39" t="s">
        <v>163</v>
      </c>
      <c r="B39" s="4" t="s">
        <v>314</v>
      </c>
      <c r="C39">
        <v>15</v>
      </c>
      <c r="D39" s="14">
        <f t="shared" si="0"/>
        <v>15</v>
      </c>
      <c r="F39">
        <v>19</v>
      </c>
      <c r="G39">
        <f>COUNTIF('Dias de faena'!$D$24:$D$42,F39)</f>
        <v>0</v>
      </c>
      <c r="O39" s="4"/>
      <c r="P39" s="4"/>
    </row>
    <row r="40" spans="1:17" x14ac:dyDescent="0.25">
      <c r="A40" t="s">
        <v>163</v>
      </c>
      <c r="B40" s="4" t="s">
        <v>274</v>
      </c>
      <c r="C40">
        <v>7</v>
      </c>
      <c r="D40" s="14">
        <f t="shared" si="0"/>
        <v>7</v>
      </c>
      <c r="F40">
        <v>20</v>
      </c>
      <c r="G40">
        <f>COUNTIF('Dias de faena'!$D$24:$D$42,F40)</f>
        <v>2</v>
      </c>
      <c r="O40" s="4"/>
      <c r="P40" s="4"/>
    </row>
    <row r="41" spans="1:17" x14ac:dyDescent="0.25">
      <c r="A41" t="s">
        <v>163</v>
      </c>
      <c r="B41" s="4" t="s">
        <v>144</v>
      </c>
      <c r="C41">
        <v>20</v>
      </c>
      <c r="D41" s="14">
        <f t="shared" si="0"/>
        <v>20</v>
      </c>
      <c r="F41">
        <v>21</v>
      </c>
      <c r="G41">
        <f>COUNTIF('Dias de faena'!$D$24:$D$42,F41)</f>
        <v>0</v>
      </c>
      <c r="O41" s="4"/>
      <c r="P41" s="4"/>
    </row>
    <row r="42" spans="1:17" ht="15.75" thickBot="1" x14ac:dyDescent="0.3">
      <c r="A42" s="13" t="s">
        <v>163</v>
      </c>
      <c r="B42" s="4" t="s">
        <v>274</v>
      </c>
      <c r="C42">
        <v>8</v>
      </c>
      <c r="D42" s="14">
        <f t="shared" si="0"/>
        <v>8</v>
      </c>
      <c r="F42">
        <v>22</v>
      </c>
      <c r="G42">
        <f>COUNTIF('Dias de faena'!$D$24:$D$42,F42)</f>
        <v>1</v>
      </c>
      <c r="O42" s="4"/>
      <c r="P42" s="4"/>
    </row>
    <row r="43" spans="1:17" x14ac:dyDescent="0.25">
      <c r="A43" t="s">
        <v>79</v>
      </c>
      <c r="B43" s="4" t="s">
        <v>362</v>
      </c>
      <c r="C43">
        <v>30</v>
      </c>
      <c r="D43" s="14">
        <f t="shared" si="0"/>
        <v>30</v>
      </c>
      <c r="O43" s="4"/>
      <c r="P43" s="4"/>
    </row>
    <row r="44" spans="1:17" x14ac:dyDescent="0.25">
      <c r="A44" t="s">
        <v>79</v>
      </c>
      <c r="B44" s="4" t="s">
        <v>170</v>
      </c>
      <c r="C44">
        <v>6</v>
      </c>
      <c r="D44" s="14">
        <f t="shared" si="0"/>
        <v>6</v>
      </c>
      <c r="F44" t="s">
        <v>841</v>
      </c>
      <c r="G44" t="s">
        <v>836</v>
      </c>
      <c r="I44" t="s">
        <v>841</v>
      </c>
      <c r="J44" t="s">
        <v>836</v>
      </c>
      <c r="P44" s="4"/>
    </row>
    <row r="45" spans="1:17" x14ac:dyDescent="0.25">
      <c r="A45" t="s">
        <v>79</v>
      </c>
      <c r="B45" s="4" t="s">
        <v>333</v>
      </c>
      <c r="C45">
        <v>30</v>
      </c>
      <c r="D45" s="14">
        <f t="shared" si="0"/>
        <v>30</v>
      </c>
      <c r="F45">
        <v>5</v>
      </c>
      <c r="G45">
        <f>COUNTIF('Dias de faena'!$D$43:$D$61,F45)</f>
        <v>0</v>
      </c>
      <c r="I45" s="3" t="s">
        <v>348</v>
      </c>
      <c r="J45">
        <f>SUM(G45:G50)</f>
        <v>7</v>
      </c>
      <c r="P45" s="4"/>
    </row>
    <row r="46" spans="1:17" x14ac:dyDescent="0.25">
      <c r="A46" t="s">
        <v>79</v>
      </c>
      <c r="B46" s="4" t="s">
        <v>586</v>
      </c>
      <c r="C46">
        <v>30</v>
      </c>
      <c r="D46" s="14">
        <f t="shared" si="0"/>
        <v>30</v>
      </c>
      <c r="F46">
        <v>6</v>
      </c>
      <c r="G46">
        <f>COUNTIF('Dias de faena'!$D$43:$D$61,F46)</f>
        <v>2</v>
      </c>
      <c r="I46" s="3" t="s">
        <v>842</v>
      </c>
      <c r="J46">
        <f>SUM(G51:G55)</f>
        <v>2</v>
      </c>
      <c r="P46" s="4"/>
    </row>
    <row r="47" spans="1:17" x14ac:dyDescent="0.25">
      <c r="A47" t="s">
        <v>79</v>
      </c>
      <c r="B47" s="4" t="s">
        <v>314</v>
      </c>
      <c r="C47">
        <v>10</v>
      </c>
      <c r="D47" s="14">
        <f t="shared" si="0"/>
        <v>10</v>
      </c>
      <c r="F47">
        <v>7</v>
      </c>
      <c r="G47">
        <f>COUNTIF('Dias de faena'!$D$43:$D$61,F47)</f>
        <v>1</v>
      </c>
      <c r="I47" s="3" t="s">
        <v>843</v>
      </c>
      <c r="J47">
        <f>SUM(G56:G60)</f>
        <v>5</v>
      </c>
      <c r="P47" s="4"/>
    </row>
    <row r="48" spans="1:17" x14ac:dyDescent="0.25">
      <c r="A48" t="s">
        <v>79</v>
      </c>
      <c r="B48" s="4" t="s">
        <v>314</v>
      </c>
      <c r="C48">
        <v>12</v>
      </c>
      <c r="D48" s="14">
        <f t="shared" si="0"/>
        <v>12</v>
      </c>
      <c r="F48">
        <v>8</v>
      </c>
      <c r="G48">
        <f>COUNTIF('Dias de faena'!$D$43:$D$61,F48)</f>
        <v>0</v>
      </c>
      <c r="I48" s="3" t="s">
        <v>844</v>
      </c>
      <c r="J48">
        <f>SUM(G61:G65)</f>
        <v>0</v>
      </c>
      <c r="P48" s="4"/>
    </row>
    <row r="49" spans="1:16" x14ac:dyDescent="0.25">
      <c r="A49" t="s">
        <v>79</v>
      </c>
      <c r="B49" s="4" t="s">
        <v>362</v>
      </c>
      <c r="C49">
        <v>30</v>
      </c>
      <c r="D49" s="14">
        <f t="shared" si="0"/>
        <v>30</v>
      </c>
      <c r="F49">
        <v>9</v>
      </c>
      <c r="G49">
        <f>COUNTIF('Dias de faena'!$D$43:$D$61,F49)</f>
        <v>0</v>
      </c>
      <c r="I49" s="3" t="s">
        <v>845</v>
      </c>
      <c r="J49">
        <f>SUM(G66:G70)</f>
        <v>5</v>
      </c>
      <c r="P49" s="4"/>
    </row>
    <row r="50" spans="1:16" x14ac:dyDescent="0.25">
      <c r="A50" s="4" t="s">
        <v>79</v>
      </c>
      <c r="B50" s="3" t="s">
        <v>170</v>
      </c>
      <c r="C50">
        <v>6</v>
      </c>
      <c r="D50" s="8">
        <f t="shared" si="0"/>
        <v>6</v>
      </c>
      <c r="F50">
        <v>10</v>
      </c>
      <c r="G50">
        <f>COUNTIF('Dias de faena'!$D$43:$D$61,F50)</f>
        <v>4</v>
      </c>
      <c r="P50" s="4"/>
    </row>
    <row r="51" spans="1:16" x14ac:dyDescent="0.25">
      <c r="A51" s="4" t="s">
        <v>79</v>
      </c>
      <c r="B51" s="3" t="s">
        <v>310</v>
      </c>
      <c r="C51">
        <v>20</v>
      </c>
      <c r="D51" s="8">
        <f t="shared" si="0"/>
        <v>20</v>
      </c>
      <c r="F51">
        <v>11</v>
      </c>
      <c r="G51">
        <f>COUNTIF('Dias de faena'!$D$43:$D$61,F51)</f>
        <v>1</v>
      </c>
      <c r="P51" s="4"/>
    </row>
    <row r="52" spans="1:16" x14ac:dyDescent="0.25">
      <c r="A52" t="s">
        <v>79</v>
      </c>
      <c r="B52" s="3" t="s">
        <v>274</v>
      </c>
      <c r="C52">
        <v>7</v>
      </c>
      <c r="D52" s="8">
        <f t="shared" si="0"/>
        <v>7</v>
      </c>
      <c r="F52">
        <v>12</v>
      </c>
      <c r="G52">
        <f>COUNTIF('Dias de faena'!$D$43:$D$61,F52)</f>
        <v>1</v>
      </c>
    </row>
    <row r="53" spans="1:16" x14ac:dyDescent="0.25">
      <c r="A53" t="s">
        <v>79</v>
      </c>
      <c r="B53" s="3" t="s">
        <v>314</v>
      </c>
      <c r="C53">
        <v>10</v>
      </c>
      <c r="D53" s="8">
        <f t="shared" si="0"/>
        <v>10</v>
      </c>
      <c r="F53">
        <v>13</v>
      </c>
      <c r="G53">
        <f>COUNTIF('Dias de faena'!$D$43:$D$61,F53)</f>
        <v>0</v>
      </c>
    </row>
    <row r="54" spans="1:16" x14ac:dyDescent="0.25">
      <c r="A54" t="s">
        <v>79</v>
      </c>
      <c r="B54" s="3" t="s">
        <v>144</v>
      </c>
      <c r="C54">
        <v>11</v>
      </c>
      <c r="D54" s="8">
        <f t="shared" si="0"/>
        <v>11</v>
      </c>
      <c r="F54">
        <v>14</v>
      </c>
      <c r="G54">
        <f>COUNTIF('Dias de faena'!$D$43:$D$61,F54)</f>
        <v>0</v>
      </c>
    </row>
    <row r="55" spans="1:16" x14ac:dyDescent="0.25">
      <c r="A55" t="s">
        <v>79</v>
      </c>
      <c r="B55" s="3" t="s">
        <v>362</v>
      </c>
      <c r="C55">
        <v>30</v>
      </c>
      <c r="D55" s="8">
        <f t="shared" si="0"/>
        <v>30</v>
      </c>
      <c r="F55">
        <v>15</v>
      </c>
      <c r="G55">
        <f>COUNTIF('Dias de faena'!$D$43:$D$61,F55)</f>
        <v>0</v>
      </c>
    </row>
    <row r="56" spans="1:16" x14ac:dyDescent="0.25">
      <c r="A56" t="s">
        <v>79</v>
      </c>
      <c r="B56" s="3" t="s">
        <v>586</v>
      </c>
      <c r="C56">
        <v>20</v>
      </c>
      <c r="D56" s="8">
        <f t="shared" si="0"/>
        <v>20</v>
      </c>
      <c r="F56">
        <v>16</v>
      </c>
      <c r="G56">
        <f>COUNTIF('Dias de faena'!$D$43:$D$61,F56)</f>
        <v>0</v>
      </c>
    </row>
    <row r="57" spans="1:16" x14ac:dyDescent="0.25">
      <c r="A57" t="s">
        <v>79</v>
      </c>
      <c r="B57" s="3" t="s">
        <v>362</v>
      </c>
      <c r="C57">
        <v>18</v>
      </c>
      <c r="D57" s="8">
        <f t="shared" si="0"/>
        <v>18</v>
      </c>
      <c r="F57">
        <v>17</v>
      </c>
      <c r="G57">
        <f>COUNTIF('Dias de faena'!$D$43:$D$61,F57)</f>
        <v>0</v>
      </c>
    </row>
    <row r="58" spans="1:16" x14ac:dyDescent="0.25">
      <c r="A58" t="s">
        <v>79</v>
      </c>
      <c r="B58" s="4" t="s">
        <v>362</v>
      </c>
      <c r="C58">
        <v>20</v>
      </c>
      <c r="D58" s="8">
        <f t="shared" si="0"/>
        <v>20</v>
      </c>
      <c r="F58">
        <v>18</v>
      </c>
      <c r="G58">
        <f>COUNTIF('Dias de faena'!$D$43:$D$61,F58)</f>
        <v>1</v>
      </c>
    </row>
    <row r="59" spans="1:16" x14ac:dyDescent="0.25">
      <c r="A59" t="s">
        <v>79</v>
      </c>
      <c r="B59" s="4" t="s">
        <v>314</v>
      </c>
      <c r="C59">
        <v>10</v>
      </c>
      <c r="D59" s="8">
        <f t="shared" si="0"/>
        <v>10</v>
      </c>
      <c r="F59">
        <v>19</v>
      </c>
      <c r="G59">
        <f>COUNTIF('Dias de faena'!$D$43:$D$61,F59)</f>
        <v>0</v>
      </c>
    </row>
    <row r="60" spans="1:16" x14ac:dyDescent="0.25">
      <c r="A60" t="s">
        <v>79</v>
      </c>
      <c r="B60" s="4" t="s">
        <v>362</v>
      </c>
      <c r="C60">
        <v>20</v>
      </c>
      <c r="D60" s="8">
        <f t="shared" si="0"/>
        <v>20</v>
      </c>
      <c r="F60">
        <v>20</v>
      </c>
      <c r="G60">
        <f>COUNTIF('Dias de faena'!$D$43:$D$61,F60)</f>
        <v>4</v>
      </c>
    </row>
    <row r="61" spans="1:16" ht="15.75" thickBot="1" x14ac:dyDescent="0.3">
      <c r="A61" s="13" t="s">
        <v>79</v>
      </c>
      <c r="B61" s="3" t="s">
        <v>314</v>
      </c>
      <c r="C61">
        <v>10</v>
      </c>
      <c r="D61" s="8">
        <f t="shared" si="0"/>
        <v>10</v>
      </c>
      <c r="F61">
        <v>21</v>
      </c>
      <c r="G61">
        <f>COUNTIF('Dias de faena'!$D$43:$D$61,F61)</f>
        <v>0</v>
      </c>
    </row>
    <row r="62" spans="1:16" x14ac:dyDescent="0.25">
      <c r="A62" t="s">
        <v>71</v>
      </c>
      <c r="B62" s="4" t="s">
        <v>333</v>
      </c>
      <c r="C62">
        <v>30</v>
      </c>
      <c r="D62" s="8">
        <f t="shared" si="0"/>
        <v>30</v>
      </c>
      <c r="F62">
        <v>22</v>
      </c>
      <c r="G62">
        <f>COUNTIF('Dias de faena'!$D$43:$D$61,F62)</f>
        <v>0</v>
      </c>
    </row>
    <row r="63" spans="1:16" x14ac:dyDescent="0.25">
      <c r="A63" t="s">
        <v>71</v>
      </c>
      <c r="B63" s="4" t="s">
        <v>333</v>
      </c>
      <c r="C63">
        <v>40</v>
      </c>
      <c r="D63" s="8">
        <f t="shared" si="0"/>
        <v>40</v>
      </c>
      <c r="F63">
        <v>23</v>
      </c>
      <c r="G63">
        <f>COUNTIF('Dias de faena'!$D$43:$D$61,F63)</f>
        <v>0</v>
      </c>
    </row>
    <row r="64" spans="1:16" x14ac:dyDescent="0.25">
      <c r="A64" t="s">
        <v>71</v>
      </c>
      <c r="B64">
        <v>30</v>
      </c>
      <c r="C64">
        <v>30</v>
      </c>
      <c r="D64" s="8">
        <f t="shared" si="0"/>
        <v>30</v>
      </c>
      <c r="F64">
        <v>24</v>
      </c>
      <c r="G64">
        <f>COUNTIF('Dias de faena'!$D$43:$D$61,F64)</f>
        <v>0</v>
      </c>
    </row>
    <row r="65" spans="1:7" x14ac:dyDescent="0.25">
      <c r="A65" t="s">
        <v>71</v>
      </c>
      <c r="B65">
        <v>30</v>
      </c>
      <c r="C65">
        <v>45</v>
      </c>
      <c r="D65" s="8">
        <f t="shared" si="0"/>
        <v>37.5</v>
      </c>
      <c r="F65">
        <v>25</v>
      </c>
      <c r="G65">
        <f>COUNTIF('Dias de faena'!$D$43:$D$61,F65)</f>
        <v>0</v>
      </c>
    </row>
    <row r="66" spans="1:7" x14ac:dyDescent="0.25">
      <c r="A66" t="s">
        <v>71</v>
      </c>
      <c r="B66" s="3" t="s">
        <v>333</v>
      </c>
      <c r="C66">
        <v>60</v>
      </c>
      <c r="D66" s="8">
        <f t="shared" si="0"/>
        <v>60</v>
      </c>
      <c r="F66">
        <v>26</v>
      </c>
      <c r="G66">
        <f>COUNTIF('Dias de faena'!$D$43:$D$61,F66)</f>
        <v>0</v>
      </c>
    </row>
    <row r="67" spans="1:7" x14ac:dyDescent="0.25">
      <c r="A67" t="s">
        <v>71</v>
      </c>
      <c r="B67" s="3" t="s">
        <v>333</v>
      </c>
      <c r="C67">
        <v>30</v>
      </c>
      <c r="D67" s="8">
        <f t="shared" si="0"/>
        <v>30</v>
      </c>
      <c r="F67">
        <v>27</v>
      </c>
      <c r="G67">
        <f>COUNTIF('Dias de faena'!$D$43:$D$61,F67)</f>
        <v>0</v>
      </c>
    </row>
    <row r="68" spans="1:7" x14ac:dyDescent="0.25">
      <c r="A68" t="s">
        <v>71</v>
      </c>
      <c r="B68" s="3" t="s">
        <v>333</v>
      </c>
      <c r="C68">
        <v>30</v>
      </c>
      <c r="D68" s="8">
        <f t="shared" ref="D68:D84" si="1">AVERAGE(C68,B68)</f>
        <v>30</v>
      </c>
      <c r="F68">
        <v>28</v>
      </c>
      <c r="G68">
        <f>COUNTIF('Dias de faena'!$D$43:$D$61,F68)</f>
        <v>0</v>
      </c>
    </row>
    <row r="69" spans="1:7" x14ac:dyDescent="0.25">
      <c r="A69" t="s">
        <v>71</v>
      </c>
      <c r="B69">
        <v>30</v>
      </c>
      <c r="C69">
        <v>30</v>
      </c>
      <c r="D69" s="8">
        <f t="shared" si="1"/>
        <v>30</v>
      </c>
      <c r="F69">
        <v>29</v>
      </c>
      <c r="G69">
        <f>COUNTIF('Dias de faena'!$D$43:$D$61,F69)</f>
        <v>0</v>
      </c>
    </row>
    <row r="70" spans="1:7" x14ac:dyDescent="0.25">
      <c r="A70" t="s">
        <v>71</v>
      </c>
      <c r="B70" s="4" t="s">
        <v>333</v>
      </c>
      <c r="C70">
        <v>40</v>
      </c>
      <c r="D70" s="8">
        <f t="shared" si="1"/>
        <v>40</v>
      </c>
      <c r="F70">
        <v>30</v>
      </c>
      <c r="G70">
        <f>COUNTIF('Dias de faena'!$D$43:$D$61,F70)</f>
        <v>5</v>
      </c>
    </row>
    <row r="71" spans="1:7" x14ac:dyDescent="0.25">
      <c r="A71" t="s">
        <v>71</v>
      </c>
      <c r="B71">
        <v>30</v>
      </c>
      <c r="C71">
        <v>40</v>
      </c>
      <c r="D71" s="8">
        <f t="shared" si="1"/>
        <v>35</v>
      </c>
    </row>
    <row r="72" spans="1:7" x14ac:dyDescent="0.25">
      <c r="A72" t="s">
        <v>71</v>
      </c>
      <c r="B72" s="3" t="s">
        <v>138</v>
      </c>
      <c r="C72">
        <v>40</v>
      </c>
      <c r="D72" s="8">
        <f t="shared" si="1"/>
        <v>40</v>
      </c>
    </row>
    <row r="73" spans="1:7" ht="15.75" thickBot="1" x14ac:dyDescent="0.3">
      <c r="A73" s="13" t="s">
        <v>71</v>
      </c>
      <c r="B73" s="3" t="s">
        <v>832</v>
      </c>
      <c r="C73">
        <v>60</v>
      </c>
      <c r="D73" s="8">
        <f t="shared" si="1"/>
        <v>60</v>
      </c>
    </row>
    <row r="74" spans="1:7" x14ac:dyDescent="0.25">
      <c r="A74" t="s">
        <v>393</v>
      </c>
      <c r="B74" s="4" t="s">
        <v>833</v>
      </c>
      <c r="C74">
        <v>18</v>
      </c>
      <c r="D74" s="8">
        <f t="shared" si="1"/>
        <v>18</v>
      </c>
    </row>
    <row r="75" spans="1:7" x14ac:dyDescent="0.25">
      <c r="A75" t="s">
        <v>393</v>
      </c>
      <c r="B75" s="4" t="s">
        <v>453</v>
      </c>
      <c r="C75">
        <v>26</v>
      </c>
      <c r="D75" s="8">
        <f t="shared" si="1"/>
        <v>26</v>
      </c>
    </row>
    <row r="76" spans="1:7" x14ac:dyDescent="0.25">
      <c r="A76" t="s">
        <v>393</v>
      </c>
      <c r="B76" s="4" t="s">
        <v>144</v>
      </c>
      <c r="C76">
        <v>15</v>
      </c>
      <c r="D76" s="8">
        <f t="shared" si="1"/>
        <v>15</v>
      </c>
    </row>
    <row r="77" spans="1:7" x14ac:dyDescent="0.25">
      <c r="A77" t="s">
        <v>393</v>
      </c>
      <c r="B77" s="4" t="s">
        <v>834</v>
      </c>
      <c r="C77">
        <v>25</v>
      </c>
      <c r="D77" s="8">
        <f t="shared" si="1"/>
        <v>25</v>
      </c>
    </row>
    <row r="78" spans="1:7" x14ac:dyDescent="0.25">
      <c r="A78" t="s">
        <v>393</v>
      </c>
      <c r="B78" s="4" t="s">
        <v>362</v>
      </c>
      <c r="C78">
        <v>30</v>
      </c>
      <c r="D78" s="8">
        <f t="shared" si="1"/>
        <v>30</v>
      </c>
    </row>
    <row r="79" spans="1:7" x14ac:dyDescent="0.25">
      <c r="A79" t="s">
        <v>393</v>
      </c>
      <c r="B79" s="4" t="s">
        <v>259</v>
      </c>
      <c r="C79">
        <v>28</v>
      </c>
      <c r="D79" s="8">
        <f t="shared" si="1"/>
        <v>28</v>
      </c>
    </row>
    <row r="80" spans="1:7" x14ac:dyDescent="0.25">
      <c r="A80" t="s">
        <v>393</v>
      </c>
      <c r="B80" s="3" t="s">
        <v>362</v>
      </c>
      <c r="C80">
        <v>15</v>
      </c>
      <c r="D80" s="8">
        <f t="shared" si="1"/>
        <v>15</v>
      </c>
    </row>
    <row r="81" spans="1:21" x14ac:dyDescent="0.25">
      <c r="A81" t="s">
        <v>393</v>
      </c>
      <c r="B81" s="3" t="s">
        <v>314</v>
      </c>
      <c r="C81">
        <v>10</v>
      </c>
      <c r="D81" s="8">
        <f t="shared" si="1"/>
        <v>10</v>
      </c>
    </row>
    <row r="82" spans="1:21" ht="15.75" thickBot="1" x14ac:dyDescent="0.3">
      <c r="A82" s="13" t="s">
        <v>393</v>
      </c>
      <c r="B82" s="3" t="s">
        <v>259</v>
      </c>
      <c r="C82">
        <v>30</v>
      </c>
      <c r="D82" s="8">
        <f t="shared" si="1"/>
        <v>30</v>
      </c>
    </row>
    <row r="83" spans="1:21" x14ac:dyDescent="0.25">
      <c r="A83" t="s">
        <v>846</v>
      </c>
      <c r="B83" s="4" t="s">
        <v>833</v>
      </c>
      <c r="C83">
        <v>18</v>
      </c>
      <c r="D83" s="8">
        <f t="shared" si="1"/>
        <v>18</v>
      </c>
    </row>
    <row r="84" spans="1:21" x14ac:dyDescent="0.25">
      <c r="A84" t="s">
        <v>846</v>
      </c>
      <c r="B84" s="3" t="s">
        <v>586</v>
      </c>
      <c r="C84">
        <v>25</v>
      </c>
      <c r="D84" s="8">
        <f t="shared" si="1"/>
        <v>25</v>
      </c>
    </row>
    <row r="89" spans="1:21" x14ac:dyDescent="0.25">
      <c r="A89" s="11" t="s">
        <v>826</v>
      </c>
    </row>
    <row r="90" spans="1:21" x14ac:dyDescent="0.25">
      <c r="B90" t="s">
        <v>828</v>
      </c>
      <c r="C90" t="s">
        <v>829</v>
      </c>
      <c r="D90" s="8" t="s">
        <v>831</v>
      </c>
    </row>
    <row r="91" spans="1:21" x14ac:dyDescent="0.25">
      <c r="A91" t="s">
        <v>96</v>
      </c>
      <c r="B91" s="3" t="s">
        <v>279</v>
      </c>
      <c r="C91">
        <v>3</v>
      </c>
      <c r="D91" s="8">
        <f t="shared" ref="D91:D122" si="2">AVERAGE(C91,B91)</f>
        <v>3</v>
      </c>
      <c r="U91" t="s">
        <v>96</v>
      </c>
    </row>
    <row r="92" spans="1:21" x14ac:dyDescent="0.25">
      <c r="A92" t="s">
        <v>96</v>
      </c>
      <c r="B92">
        <v>10</v>
      </c>
      <c r="C92">
        <v>10</v>
      </c>
      <c r="D92" s="8">
        <f t="shared" si="2"/>
        <v>10</v>
      </c>
      <c r="U92" t="s">
        <v>163</v>
      </c>
    </row>
    <row r="93" spans="1:21" x14ac:dyDescent="0.25">
      <c r="A93" t="s">
        <v>96</v>
      </c>
      <c r="B93" s="3" t="s">
        <v>279</v>
      </c>
      <c r="C93">
        <v>3</v>
      </c>
      <c r="D93" s="8">
        <f t="shared" si="2"/>
        <v>3</v>
      </c>
      <c r="U93" t="s">
        <v>79</v>
      </c>
    </row>
    <row r="94" spans="1:21" x14ac:dyDescent="0.25">
      <c r="A94" t="s">
        <v>96</v>
      </c>
      <c r="B94" s="3" t="s">
        <v>315</v>
      </c>
      <c r="C94">
        <v>5</v>
      </c>
      <c r="D94" s="8">
        <f t="shared" si="2"/>
        <v>5</v>
      </c>
      <c r="U94" t="s">
        <v>71</v>
      </c>
    </row>
    <row r="95" spans="1:21" x14ac:dyDescent="0.25">
      <c r="A95" t="s">
        <v>96</v>
      </c>
      <c r="B95" s="3" t="s">
        <v>279</v>
      </c>
      <c r="C95">
        <v>3</v>
      </c>
      <c r="D95" s="8">
        <f t="shared" si="2"/>
        <v>3</v>
      </c>
      <c r="U95" t="s">
        <v>393</v>
      </c>
    </row>
    <row r="96" spans="1:21" x14ac:dyDescent="0.25">
      <c r="A96" t="s">
        <v>96</v>
      </c>
      <c r="B96" s="3" t="s">
        <v>279</v>
      </c>
      <c r="C96">
        <v>3</v>
      </c>
      <c r="D96" s="8">
        <f t="shared" si="2"/>
        <v>3</v>
      </c>
      <c r="U96" t="s">
        <v>1525</v>
      </c>
    </row>
    <row r="97" spans="1:21" x14ac:dyDescent="0.25">
      <c r="A97" t="s">
        <v>96</v>
      </c>
      <c r="B97">
        <v>15</v>
      </c>
      <c r="C97">
        <v>20</v>
      </c>
      <c r="D97" s="8">
        <f t="shared" si="2"/>
        <v>17.5</v>
      </c>
      <c r="U97" t="s">
        <v>1526</v>
      </c>
    </row>
    <row r="98" spans="1:21" x14ac:dyDescent="0.25">
      <c r="A98" t="s">
        <v>96</v>
      </c>
      <c r="B98">
        <v>7</v>
      </c>
      <c r="C98">
        <v>7</v>
      </c>
      <c r="D98" s="8">
        <f t="shared" si="2"/>
        <v>7</v>
      </c>
    </row>
    <row r="99" spans="1:21" x14ac:dyDescent="0.25">
      <c r="A99" t="s">
        <v>96</v>
      </c>
      <c r="B99" s="3" t="s">
        <v>279</v>
      </c>
      <c r="C99">
        <v>4</v>
      </c>
      <c r="D99" s="8">
        <f t="shared" si="2"/>
        <v>4</v>
      </c>
    </row>
    <row r="100" spans="1:21" x14ac:dyDescent="0.25">
      <c r="A100" s="3" t="s">
        <v>96</v>
      </c>
      <c r="B100" s="17" t="s">
        <v>310</v>
      </c>
      <c r="C100">
        <v>7</v>
      </c>
      <c r="D100" s="8">
        <f t="shared" si="2"/>
        <v>7</v>
      </c>
    </row>
    <row r="101" spans="1:21" x14ac:dyDescent="0.25">
      <c r="A101" t="s">
        <v>96</v>
      </c>
      <c r="B101">
        <v>2</v>
      </c>
      <c r="C101">
        <v>2</v>
      </c>
      <c r="D101" s="8">
        <f t="shared" si="2"/>
        <v>2</v>
      </c>
    </row>
    <row r="102" spans="1:21" x14ac:dyDescent="0.25">
      <c r="A102" t="s">
        <v>96</v>
      </c>
      <c r="B102" s="3" t="s">
        <v>315</v>
      </c>
      <c r="C102">
        <v>4</v>
      </c>
      <c r="D102" s="8">
        <f t="shared" si="2"/>
        <v>4</v>
      </c>
    </row>
    <row r="103" spans="1:21" x14ac:dyDescent="0.25">
      <c r="A103" t="s">
        <v>96</v>
      </c>
      <c r="B103">
        <v>5</v>
      </c>
      <c r="C103">
        <v>5</v>
      </c>
      <c r="D103" s="8">
        <f t="shared" si="2"/>
        <v>5</v>
      </c>
    </row>
    <row r="104" spans="1:21" ht="15.75" thickBot="1" x14ac:dyDescent="0.3">
      <c r="A104" s="13" t="s">
        <v>96</v>
      </c>
      <c r="B104" s="3" t="s">
        <v>279</v>
      </c>
      <c r="C104">
        <v>3</v>
      </c>
      <c r="D104" s="8">
        <f t="shared" si="2"/>
        <v>3</v>
      </c>
    </row>
    <row r="105" spans="1:21" x14ac:dyDescent="0.25">
      <c r="A105" t="s">
        <v>163</v>
      </c>
      <c r="B105" s="3" t="s">
        <v>315</v>
      </c>
      <c r="C105">
        <v>5</v>
      </c>
      <c r="D105" s="8">
        <f t="shared" si="2"/>
        <v>5</v>
      </c>
    </row>
    <row r="106" spans="1:21" x14ac:dyDescent="0.25">
      <c r="A106" t="s">
        <v>163</v>
      </c>
      <c r="B106" s="3" t="s">
        <v>258</v>
      </c>
      <c r="C106">
        <v>5</v>
      </c>
      <c r="D106" s="8">
        <f t="shared" si="2"/>
        <v>5</v>
      </c>
    </row>
    <row r="107" spans="1:21" x14ac:dyDescent="0.25">
      <c r="A107" t="s">
        <v>163</v>
      </c>
      <c r="B107" s="3" t="s">
        <v>279</v>
      </c>
      <c r="C107">
        <v>4</v>
      </c>
      <c r="D107" s="8">
        <f t="shared" si="2"/>
        <v>4</v>
      </c>
    </row>
    <row r="108" spans="1:21" x14ac:dyDescent="0.25">
      <c r="A108" t="s">
        <v>163</v>
      </c>
      <c r="B108">
        <v>4</v>
      </c>
      <c r="C108">
        <v>4</v>
      </c>
      <c r="D108" s="8">
        <f t="shared" si="2"/>
        <v>4</v>
      </c>
    </row>
    <row r="109" spans="1:21" x14ac:dyDescent="0.25">
      <c r="A109" t="s">
        <v>163</v>
      </c>
      <c r="B109" s="3" t="s">
        <v>315</v>
      </c>
      <c r="C109">
        <v>4</v>
      </c>
      <c r="D109" s="8">
        <f t="shared" si="2"/>
        <v>4</v>
      </c>
    </row>
    <row r="110" spans="1:21" x14ac:dyDescent="0.25">
      <c r="A110" t="s">
        <v>163</v>
      </c>
      <c r="B110">
        <v>4</v>
      </c>
      <c r="C110">
        <v>4</v>
      </c>
      <c r="D110" s="8">
        <f t="shared" si="2"/>
        <v>4</v>
      </c>
    </row>
    <row r="111" spans="1:21" x14ac:dyDescent="0.25">
      <c r="A111" t="s">
        <v>163</v>
      </c>
      <c r="B111">
        <v>3</v>
      </c>
      <c r="C111">
        <v>3</v>
      </c>
      <c r="D111" s="8">
        <f t="shared" si="2"/>
        <v>3</v>
      </c>
    </row>
    <row r="112" spans="1:21" x14ac:dyDescent="0.25">
      <c r="A112" t="s">
        <v>163</v>
      </c>
      <c r="B112">
        <v>7</v>
      </c>
      <c r="C112">
        <v>7</v>
      </c>
      <c r="D112" s="8">
        <f t="shared" si="2"/>
        <v>7</v>
      </c>
    </row>
    <row r="113" spans="1:4" x14ac:dyDescent="0.25">
      <c r="A113" t="s">
        <v>163</v>
      </c>
      <c r="B113">
        <v>7</v>
      </c>
      <c r="C113">
        <v>7</v>
      </c>
      <c r="D113" s="8">
        <f t="shared" si="2"/>
        <v>7</v>
      </c>
    </row>
    <row r="114" spans="1:4" x14ac:dyDescent="0.25">
      <c r="A114" t="s">
        <v>163</v>
      </c>
      <c r="B114" s="3" t="s">
        <v>279</v>
      </c>
      <c r="C114">
        <v>3</v>
      </c>
      <c r="D114" s="8">
        <f t="shared" si="2"/>
        <v>3</v>
      </c>
    </row>
    <row r="115" spans="1:4" x14ac:dyDescent="0.25">
      <c r="A115" t="s">
        <v>163</v>
      </c>
      <c r="B115">
        <v>3</v>
      </c>
      <c r="C115">
        <v>3</v>
      </c>
      <c r="D115" s="8">
        <f t="shared" si="2"/>
        <v>3</v>
      </c>
    </row>
    <row r="116" spans="1:4" x14ac:dyDescent="0.25">
      <c r="A116" t="s">
        <v>163</v>
      </c>
      <c r="B116">
        <v>4</v>
      </c>
      <c r="C116">
        <v>4</v>
      </c>
      <c r="D116" s="8">
        <f t="shared" si="2"/>
        <v>4</v>
      </c>
    </row>
    <row r="117" spans="1:4" x14ac:dyDescent="0.25">
      <c r="A117" t="s">
        <v>163</v>
      </c>
      <c r="B117" s="3" t="s">
        <v>279</v>
      </c>
      <c r="C117">
        <v>3</v>
      </c>
      <c r="D117" s="8">
        <f t="shared" si="2"/>
        <v>3</v>
      </c>
    </row>
    <row r="118" spans="1:4" ht="15.75" thickBot="1" x14ac:dyDescent="0.3">
      <c r="A118" s="13" t="s">
        <v>163</v>
      </c>
      <c r="B118">
        <v>7</v>
      </c>
      <c r="C118">
        <v>7</v>
      </c>
      <c r="D118" s="8">
        <f t="shared" si="2"/>
        <v>7</v>
      </c>
    </row>
    <row r="119" spans="1:4" x14ac:dyDescent="0.25">
      <c r="A119" t="s">
        <v>79</v>
      </c>
      <c r="B119" s="3" t="s">
        <v>362</v>
      </c>
      <c r="C119">
        <v>20</v>
      </c>
      <c r="D119" s="8">
        <f t="shared" si="2"/>
        <v>20</v>
      </c>
    </row>
    <row r="120" spans="1:4" x14ac:dyDescent="0.25">
      <c r="A120" t="s">
        <v>79</v>
      </c>
      <c r="B120" s="3" t="s">
        <v>274</v>
      </c>
      <c r="C120">
        <v>15</v>
      </c>
      <c r="D120" s="8">
        <f t="shared" si="2"/>
        <v>15</v>
      </c>
    </row>
    <row r="121" spans="1:4" x14ac:dyDescent="0.25">
      <c r="A121" s="3" t="s">
        <v>79</v>
      </c>
      <c r="B121" s="3" t="s">
        <v>362</v>
      </c>
      <c r="C121">
        <v>20</v>
      </c>
      <c r="D121" s="8">
        <f t="shared" si="2"/>
        <v>20</v>
      </c>
    </row>
    <row r="122" spans="1:4" x14ac:dyDescent="0.25">
      <c r="A122" t="s">
        <v>79</v>
      </c>
      <c r="B122">
        <v>15</v>
      </c>
      <c r="C122">
        <v>15</v>
      </c>
      <c r="D122" s="8">
        <f t="shared" si="2"/>
        <v>15</v>
      </c>
    </row>
    <row r="123" spans="1:4" x14ac:dyDescent="0.25">
      <c r="A123" s="3" t="s">
        <v>79</v>
      </c>
      <c r="B123">
        <v>8</v>
      </c>
      <c r="C123">
        <v>8</v>
      </c>
      <c r="D123" s="8">
        <f t="shared" ref="D123:D154" si="3">AVERAGE(C123,B123)</f>
        <v>8</v>
      </c>
    </row>
    <row r="124" spans="1:4" x14ac:dyDescent="0.25">
      <c r="A124" s="3" t="s">
        <v>79</v>
      </c>
      <c r="B124" s="3" t="s">
        <v>310</v>
      </c>
      <c r="C124">
        <v>6</v>
      </c>
      <c r="D124" s="8">
        <f t="shared" si="3"/>
        <v>6</v>
      </c>
    </row>
    <row r="125" spans="1:4" x14ac:dyDescent="0.25">
      <c r="A125" s="3" t="s">
        <v>79</v>
      </c>
      <c r="B125">
        <v>10</v>
      </c>
      <c r="C125">
        <v>10</v>
      </c>
      <c r="D125" s="8">
        <f t="shared" si="3"/>
        <v>10</v>
      </c>
    </row>
    <row r="126" spans="1:4" ht="15.75" thickBot="1" x14ac:dyDescent="0.3">
      <c r="A126" s="13" t="s">
        <v>79</v>
      </c>
      <c r="B126" s="3" t="s">
        <v>586</v>
      </c>
      <c r="C126">
        <v>30</v>
      </c>
      <c r="D126" s="8">
        <f t="shared" si="3"/>
        <v>30</v>
      </c>
    </row>
    <row r="127" spans="1:4" x14ac:dyDescent="0.25">
      <c r="A127" t="s">
        <v>71</v>
      </c>
      <c r="B127">
        <v>30</v>
      </c>
      <c r="C127">
        <v>40</v>
      </c>
      <c r="D127" s="8">
        <f t="shared" si="3"/>
        <v>35</v>
      </c>
    </row>
    <row r="128" spans="1:4" x14ac:dyDescent="0.25">
      <c r="A128" t="s">
        <v>71</v>
      </c>
      <c r="B128">
        <v>28</v>
      </c>
      <c r="C128">
        <v>35</v>
      </c>
      <c r="D128" s="8">
        <f t="shared" si="3"/>
        <v>31.5</v>
      </c>
    </row>
    <row r="129" spans="1:4" x14ac:dyDescent="0.25">
      <c r="A129" t="s">
        <v>71</v>
      </c>
      <c r="B129">
        <v>20</v>
      </c>
      <c r="C129">
        <v>30</v>
      </c>
      <c r="D129" s="8">
        <f t="shared" si="3"/>
        <v>25</v>
      </c>
    </row>
    <row r="130" spans="1:4" x14ac:dyDescent="0.25">
      <c r="A130" t="s">
        <v>71</v>
      </c>
      <c r="B130">
        <v>25</v>
      </c>
      <c r="C130">
        <v>25</v>
      </c>
      <c r="D130" s="8">
        <f t="shared" si="3"/>
        <v>25</v>
      </c>
    </row>
    <row r="131" spans="1:4" x14ac:dyDescent="0.25">
      <c r="A131" t="s">
        <v>71</v>
      </c>
      <c r="B131">
        <v>20</v>
      </c>
      <c r="C131">
        <v>20</v>
      </c>
      <c r="D131" s="8">
        <f t="shared" si="3"/>
        <v>20</v>
      </c>
    </row>
    <row r="132" spans="1:4" x14ac:dyDescent="0.25">
      <c r="A132" t="s">
        <v>71</v>
      </c>
      <c r="B132">
        <v>20</v>
      </c>
      <c r="C132">
        <v>25</v>
      </c>
      <c r="D132" s="8">
        <f t="shared" si="3"/>
        <v>22.5</v>
      </c>
    </row>
    <row r="133" spans="1:4" x14ac:dyDescent="0.25">
      <c r="A133" t="s">
        <v>71</v>
      </c>
      <c r="B133">
        <v>25</v>
      </c>
      <c r="C133">
        <v>40</v>
      </c>
      <c r="D133" s="8">
        <f t="shared" si="3"/>
        <v>32.5</v>
      </c>
    </row>
    <row r="134" spans="1:4" x14ac:dyDescent="0.25">
      <c r="A134" t="s">
        <v>71</v>
      </c>
      <c r="B134">
        <v>30</v>
      </c>
      <c r="C134">
        <v>30</v>
      </c>
      <c r="D134" s="8">
        <f t="shared" si="3"/>
        <v>30</v>
      </c>
    </row>
    <row r="135" spans="1:4" x14ac:dyDescent="0.25">
      <c r="A135" t="s">
        <v>71</v>
      </c>
      <c r="B135">
        <v>20</v>
      </c>
      <c r="C135">
        <v>30</v>
      </c>
      <c r="D135" s="8">
        <f t="shared" si="3"/>
        <v>25</v>
      </c>
    </row>
    <row r="136" spans="1:4" x14ac:dyDescent="0.25">
      <c r="A136" t="s">
        <v>71</v>
      </c>
      <c r="B136" s="3" t="s">
        <v>144</v>
      </c>
      <c r="C136">
        <v>30</v>
      </c>
      <c r="D136" s="8">
        <f t="shared" si="3"/>
        <v>30</v>
      </c>
    </row>
    <row r="137" spans="1:4" x14ac:dyDescent="0.25">
      <c r="A137" t="s">
        <v>71</v>
      </c>
      <c r="B137">
        <v>25</v>
      </c>
      <c r="C137">
        <v>40</v>
      </c>
      <c r="D137" s="8">
        <f t="shared" si="3"/>
        <v>32.5</v>
      </c>
    </row>
    <row r="138" spans="1:4" x14ac:dyDescent="0.25">
      <c r="A138" t="s">
        <v>71</v>
      </c>
      <c r="B138">
        <v>15</v>
      </c>
      <c r="C138">
        <v>20</v>
      </c>
      <c r="D138" s="8">
        <f t="shared" si="3"/>
        <v>17.5</v>
      </c>
    </row>
    <row r="139" spans="1:4" x14ac:dyDescent="0.25">
      <c r="A139" t="s">
        <v>71</v>
      </c>
      <c r="B139">
        <v>20</v>
      </c>
      <c r="C139">
        <v>25</v>
      </c>
      <c r="D139" s="8">
        <f t="shared" si="3"/>
        <v>22.5</v>
      </c>
    </row>
    <row r="140" spans="1:4" x14ac:dyDescent="0.25">
      <c r="A140" t="s">
        <v>71</v>
      </c>
      <c r="B140">
        <v>28</v>
      </c>
      <c r="C140">
        <v>30</v>
      </c>
      <c r="D140" s="8">
        <f t="shared" si="3"/>
        <v>29</v>
      </c>
    </row>
    <row r="141" spans="1:4" x14ac:dyDescent="0.25">
      <c r="A141" t="s">
        <v>71</v>
      </c>
      <c r="B141">
        <v>30</v>
      </c>
      <c r="C141">
        <v>30</v>
      </c>
      <c r="D141" s="8">
        <f t="shared" si="3"/>
        <v>30</v>
      </c>
    </row>
    <row r="142" spans="1:4" x14ac:dyDescent="0.25">
      <c r="A142" t="s">
        <v>71</v>
      </c>
      <c r="B142">
        <v>30</v>
      </c>
      <c r="C142">
        <v>40</v>
      </c>
      <c r="D142" s="8">
        <f t="shared" si="3"/>
        <v>35</v>
      </c>
    </row>
    <row r="143" spans="1:4" x14ac:dyDescent="0.25">
      <c r="A143" t="s">
        <v>71</v>
      </c>
      <c r="B143">
        <v>28</v>
      </c>
      <c r="C143">
        <v>28</v>
      </c>
      <c r="D143" s="8">
        <f t="shared" si="3"/>
        <v>28</v>
      </c>
    </row>
    <row r="144" spans="1:4" x14ac:dyDescent="0.25">
      <c r="A144" t="s">
        <v>71</v>
      </c>
      <c r="B144">
        <v>15</v>
      </c>
      <c r="C144">
        <v>20</v>
      </c>
      <c r="D144" s="8">
        <f t="shared" si="3"/>
        <v>17.5</v>
      </c>
    </row>
    <row r="145" spans="1:4" x14ac:dyDescent="0.25">
      <c r="A145" t="s">
        <v>71</v>
      </c>
      <c r="B145">
        <v>25</v>
      </c>
      <c r="C145">
        <v>25</v>
      </c>
      <c r="D145" s="8">
        <f t="shared" si="3"/>
        <v>25</v>
      </c>
    </row>
    <row r="146" spans="1:4" x14ac:dyDescent="0.25">
      <c r="A146" t="s">
        <v>71</v>
      </c>
      <c r="B146">
        <v>30</v>
      </c>
      <c r="C146">
        <v>30</v>
      </c>
      <c r="D146" s="8">
        <f t="shared" si="3"/>
        <v>30</v>
      </c>
    </row>
    <row r="147" spans="1:4" x14ac:dyDescent="0.25">
      <c r="A147" t="s">
        <v>71</v>
      </c>
      <c r="B147">
        <v>15</v>
      </c>
      <c r="C147">
        <v>20</v>
      </c>
      <c r="D147" s="8">
        <f t="shared" si="3"/>
        <v>17.5</v>
      </c>
    </row>
    <row r="148" spans="1:4" x14ac:dyDescent="0.25">
      <c r="A148" t="s">
        <v>71</v>
      </c>
      <c r="B148">
        <v>15</v>
      </c>
      <c r="C148">
        <v>20</v>
      </c>
      <c r="D148" s="8">
        <f t="shared" si="3"/>
        <v>17.5</v>
      </c>
    </row>
    <row r="149" spans="1:4" x14ac:dyDescent="0.25">
      <c r="A149" t="s">
        <v>71</v>
      </c>
      <c r="B149">
        <v>20</v>
      </c>
      <c r="C149">
        <v>30</v>
      </c>
      <c r="D149" s="8">
        <f t="shared" si="3"/>
        <v>25</v>
      </c>
    </row>
    <row r="150" spans="1:4" x14ac:dyDescent="0.25">
      <c r="A150" t="s">
        <v>71</v>
      </c>
      <c r="B150">
        <v>30</v>
      </c>
      <c r="C150">
        <v>30</v>
      </c>
      <c r="D150" s="8">
        <f t="shared" si="3"/>
        <v>30</v>
      </c>
    </row>
    <row r="151" spans="1:4" x14ac:dyDescent="0.25">
      <c r="A151" t="s">
        <v>71</v>
      </c>
      <c r="B151">
        <v>40</v>
      </c>
      <c r="C151">
        <v>60</v>
      </c>
      <c r="D151" s="8">
        <f t="shared" si="3"/>
        <v>50</v>
      </c>
    </row>
    <row r="152" spans="1:4" x14ac:dyDescent="0.25">
      <c r="A152" t="s">
        <v>71</v>
      </c>
      <c r="B152">
        <v>15</v>
      </c>
      <c r="C152">
        <v>40</v>
      </c>
      <c r="D152" s="8">
        <f t="shared" si="3"/>
        <v>27.5</v>
      </c>
    </row>
    <row r="153" spans="1:4" x14ac:dyDescent="0.25">
      <c r="A153" t="s">
        <v>71</v>
      </c>
      <c r="B153">
        <v>15</v>
      </c>
      <c r="C153">
        <v>25</v>
      </c>
      <c r="D153" s="8">
        <f t="shared" si="3"/>
        <v>20</v>
      </c>
    </row>
    <row r="154" spans="1:4" x14ac:dyDescent="0.25">
      <c r="A154" t="s">
        <v>71</v>
      </c>
      <c r="B154">
        <v>15</v>
      </c>
      <c r="C154">
        <v>20</v>
      </c>
      <c r="D154" s="8">
        <f t="shared" si="3"/>
        <v>17.5</v>
      </c>
    </row>
    <row r="155" spans="1:4" x14ac:dyDescent="0.25">
      <c r="A155" t="s">
        <v>71</v>
      </c>
      <c r="B155">
        <v>20</v>
      </c>
      <c r="C155">
        <v>30</v>
      </c>
      <c r="D155" s="8">
        <f t="shared" ref="D155:D158" si="4">AVERAGE(C155,B155)</f>
        <v>25</v>
      </c>
    </row>
    <row r="156" spans="1:4" x14ac:dyDescent="0.25">
      <c r="A156" t="s">
        <v>71</v>
      </c>
      <c r="B156">
        <v>25</v>
      </c>
      <c r="C156">
        <v>25</v>
      </c>
      <c r="D156" s="8">
        <f t="shared" si="4"/>
        <v>25</v>
      </c>
    </row>
    <row r="157" spans="1:4" x14ac:dyDescent="0.25">
      <c r="A157" t="s">
        <v>71</v>
      </c>
      <c r="B157">
        <v>30</v>
      </c>
      <c r="C157">
        <v>30</v>
      </c>
      <c r="D157" s="8">
        <f t="shared" si="4"/>
        <v>30</v>
      </c>
    </row>
    <row r="158" spans="1:4" ht="15.75" thickBot="1" x14ac:dyDescent="0.3">
      <c r="A158" s="13" t="s">
        <v>71</v>
      </c>
      <c r="B158">
        <v>20</v>
      </c>
      <c r="C158">
        <v>20</v>
      </c>
      <c r="D158" s="8">
        <f t="shared" si="4"/>
        <v>20</v>
      </c>
    </row>
    <row r="159" spans="1:4" ht="15.75" thickBot="1" x14ac:dyDescent="0.3">
      <c r="A159" s="13" t="s">
        <v>393</v>
      </c>
      <c r="B159" s="3" t="s">
        <v>362</v>
      </c>
      <c r="C159">
        <v>20</v>
      </c>
      <c r="D159" s="8">
        <f t="shared" ref="D159:D163" si="5">AVERAGE(C159,B159)</f>
        <v>20</v>
      </c>
    </row>
    <row r="160" spans="1:4" x14ac:dyDescent="0.25">
      <c r="A160" s="3" t="s">
        <v>1239</v>
      </c>
      <c r="B160" s="3" t="s">
        <v>279</v>
      </c>
      <c r="C160">
        <v>4</v>
      </c>
      <c r="D160" s="8">
        <f t="shared" si="5"/>
        <v>4</v>
      </c>
    </row>
    <row r="161" spans="1:21" x14ac:dyDescent="0.25">
      <c r="A161" t="s">
        <v>1239</v>
      </c>
      <c r="B161">
        <v>10</v>
      </c>
      <c r="C161">
        <v>10</v>
      </c>
      <c r="D161" s="8">
        <f t="shared" ref="D161" si="6">AVERAGE(C161,B161)</f>
        <v>10</v>
      </c>
    </row>
    <row r="162" spans="1:21" x14ac:dyDescent="0.25">
      <c r="A162" s="3" t="s">
        <v>1240</v>
      </c>
      <c r="B162" s="3" t="s">
        <v>279</v>
      </c>
      <c r="C162">
        <v>4</v>
      </c>
      <c r="D162" s="8">
        <f>AVERAGE(C162,B162)</f>
        <v>4</v>
      </c>
    </row>
    <row r="163" spans="1:21" x14ac:dyDescent="0.25">
      <c r="A163" t="s">
        <v>1240</v>
      </c>
      <c r="B163">
        <v>10</v>
      </c>
      <c r="C163">
        <v>10</v>
      </c>
      <c r="D163" s="8">
        <f t="shared" si="5"/>
        <v>10</v>
      </c>
    </row>
    <row r="167" spans="1:21" x14ac:dyDescent="0.25">
      <c r="A167" s="11" t="s">
        <v>1524</v>
      </c>
    </row>
    <row r="168" spans="1:21" x14ac:dyDescent="0.25">
      <c r="B168" t="s">
        <v>828</v>
      </c>
      <c r="C168" t="s">
        <v>829</v>
      </c>
      <c r="D168" s="8" t="s">
        <v>831</v>
      </c>
    </row>
    <row r="169" spans="1:21" x14ac:dyDescent="0.25">
      <c r="A169" t="s">
        <v>96</v>
      </c>
      <c r="B169">
        <v>7</v>
      </c>
      <c r="C169">
        <v>7</v>
      </c>
      <c r="D169" s="8">
        <f t="shared" ref="D169:D175" si="7">AVERAGE(C169,B169)</f>
        <v>7</v>
      </c>
    </row>
    <row r="170" spans="1:21" x14ac:dyDescent="0.25">
      <c r="A170" t="s">
        <v>96</v>
      </c>
      <c r="B170" s="3" t="s">
        <v>279</v>
      </c>
      <c r="C170">
        <v>6</v>
      </c>
      <c r="D170" s="8">
        <f t="shared" si="7"/>
        <v>6</v>
      </c>
      <c r="U170" t="s">
        <v>96</v>
      </c>
    </row>
    <row r="171" spans="1:21" x14ac:dyDescent="0.25">
      <c r="A171" t="s">
        <v>96</v>
      </c>
      <c r="B171" s="3" t="s">
        <v>315</v>
      </c>
      <c r="C171">
        <v>6</v>
      </c>
      <c r="D171" s="8">
        <f t="shared" si="7"/>
        <v>6</v>
      </c>
      <c r="U171" t="s">
        <v>163</v>
      </c>
    </row>
    <row r="172" spans="1:21" x14ac:dyDescent="0.25">
      <c r="A172" t="s">
        <v>96</v>
      </c>
      <c r="B172">
        <v>5</v>
      </c>
      <c r="C172">
        <v>5</v>
      </c>
      <c r="D172" s="8">
        <f t="shared" si="7"/>
        <v>5</v>
      </c>
      <c r="U172" t="s">
        <v>79</v>
      </c>
    </row>
    <row r="173" spans="1:21" x14ac:dyDescent="0.25">
      <c r="A173" t="s">
        <v>96</v>
      </c>
      <c r="B173" s="3" t="s">
        <v>279</v>
      </c>
      <c r="C173">
        <v>3</v>
      </c>
      <c r="D173" s="8">
        <f t="shared" si="7"/>
        <v>3</v>
      </c>
      <c r="U173" t="s">
        <v>71</v>
      </c>
    </row>
    <row r="174" spans="1:21" x14ac:dyDescent="0.25">
      <c r="A174" s="3" t="s">
        <v>96</v>
      </c>
      <c r="B174">
        <v>5</v>
      </c>
      <c r="C174">
        <v>5</v>
      </c>
      <c r="D174" s="8">
        <f t="shared" si="7"/>
        <v>5</v>
      </c>
      <c r="U174" t="s">
        <v>393</v>
      </c>
    </row>
    <row r="175" spans="1:21" ht="15.75" thickBot="1" x14ac:dyDescent="0.3">
      <c r="A175" s="13" t="s">
        <v>96</v>
      </c>
      <c r="B175" s="3" t="s">
        <v>315</v>
      </c>
      <c r="C175">
        <v>4</v>
      </c>
      <c r="D175" s="8">
        <f t="shared" si="7"/>
        <v>4</v>
      </c>
      <c r="U175" t="s">
        <v>1525</v>
      </c>
    </row>
    <row r="176" spans="1:21" x14ac:dyDescent="0.25">
      <c r="A176" t="s">
        <v>163</v>
      </c>
      <c r="B176">
        <v>5</v>
      </c>
      <c r="C176">
        <v>5</v>
      </c>
      <c r="D176" s="8">
        <f t="shared" ref="D176:D177" si="8">AVERAGE(C176,B176)</f>
        <v>5</v>
      </c>
      <c r="U176" t="s">
        <v>1526</v>
      </c>
    </row>
    <row r="177" spans="1:21" ht="15.75" thickBot="1" x14ac:dyDescent="0.3">
      <c r="A177" s="13" t="s">
        <v>163</v>
      </c>
      <c r="B177">
        <v>5</v>
      </c>
      <c r="C177">
        <v>5</v>
      </c>
      <c r="D177" s="8">
        <f t="shared" si="8"/>
        <v>5</v>
      </c>
      <c r="U177" t="s">
        <v>1256</v>
      </c>
    </row>
    <row r="178" spans="1:21" x14ac:dyDescent="0.25">
      <c r="A178" t="s">
        <v>79</v>
      </c>
      <c r="B178">
        <v>30</v>
      </c>
      <c r="C178">
        <v>30</v>
      </c>
      <c r="D178" s="8">
        <f t="shared" ref="D178:D204" si="9">AVERAGE(C178,B178)</f>
        <v>30</v>
      </c>
    </row>
    <row r="179" spans="1:21" x14ac:dyDescent="0.25">
      <c r="A179" t="s">
        <v>79</v>
      </c>
      <c r="B179">
        <v>7</v>
      </c>
      <c r="C179">
        <v>7</v>
      </c>
      <c r="D179" s="8">
        <f t="shared" si="9"/>
        <v>7</v>
      </c>
    </row>
    <row r="180" spans="1:21" ht="15.75" thickBot="1" x14ac:dyDescent="0.3">
      <c r="A180" s="13" t="s">
        <v>79</v>
      </c>
      <c r="B180">
        <v>5</v>
      </c>
      <c r="C180">
        <v>5</v>
      </c>
      <c r="D180" s="8">
        <f t="shared" si="9"/>
        <v>5</v>
      </c>
    </row>
    <row r="181" spans="1:21" x14ac:dyDescent="0.25">
      <c r="A181" t="s">
        <v>71</v>
      </c>
      <c r="B181">
        <v>30</v>
      </c>
      <c r="C181">
        <v>30</v>
      </c>
      <c r="D181" s="8">
        <f t="shared" si="9"/>
        <v>30</v>
      </c>
    </row>
    <row r="182" spans="1:21" x14ac:dyDescent="0.25">
      <c r="A182" t="s">
        <v>71</v>
      </c>
      <c r="B182" s="3" t="s">
        <v>277</v>
      </c>
      <c r="C182">
        <v>30</v>
      </c>
      <c r="D182" s="8">
        <f t="shared" si="9"/>
        <v>30</v>
      </c>
    </row>
    <row r="183" spans="1:21" x14ac:dyDescent="0.25">
      <c r="A183" t="s">
        <v>71</v>
      </c>
      <c r="B183" s="3" t="s">
        <v>277</v>
      </c>
      <c r="C183">
        <v>19</v>
      </c>
      <c r="D183" s="8">
        <f t="shared" si="9"/>
        <v>19</v>
      </c>
    </row>
    <row r="184" spans="1:21" x14ac:dyDescent="0.25">
      <c r="A184" t="s">
        <v>71</v>
      </c>
      <c r="B184">
        <v>20</v>
      </c>
      <c r="C184">
        <v>30</v>
      </c>
      <c r="D184" s="8">
        <f t="shared" si="9"/>
        <v>25</v>
      </c>
    </row>
    <row r="185" spans="1:21" x14ac:dyDescent="0.25">
      <c r="A185" t="s">
        <v>71</v>
      </c>
      <c r="B185">
        <v>25</v>
      </c>
      <c r="C185">
        <v>30</v>
      </c>
      <c r="D185" s="8">
        <f t="shared" si="9"/>
        <v>27.5</v>
      </c>
    </row>
    <row r="186" spans="1:21" x14ac:dyDescent="0.25">
      <c r="A186" t="s">
        <v>71</v>
      </c>
      <c r="B186">
        <v>15</v>
      </c>
      <c r="C186">
        <v>30</v>
      </c>
      <c r="D186" s="8">
        <f t="shared" si="9"/>
        <v>22.5</v>
      </c>
    </row>
    <row r="187" spans="1:21" x14ac:dyDescent="0.25">
      <c r="A187" t="s">
        <v>71</v>
      </c>
      <c r="B187">
        <v>30</v>
      </c>
      <c r="C187">
        <v>30</v>
      </c>
      <c r="D187" s="8">
        <f t="shared" si="9"/>
        <v>30</v>
      </c>
    </row>
    <row r="188" spans="1:21" x14ac:dyDescent="0.25">
      <c r="A188" t="s">
        <v>71</v>
      </c>
      <c r="B188">
        <v>15</v>
      </c>
      <c r="C188">
        <v>30</v>
      </c>
      <c r="D188" s="8">
        <f t="shared" si="9"/>
        <v>22.5</v>
      </c>
    </row>
    <row r="189" spans="1:21" x14ac:dyDescent="0.25">
      <c r="A189" t="s">
        <v>71</v>
      </c>
      <c r="B189">
        <v>15</v>
      </c>
      <c r="C189">
        <v>25</v>
      </c>
      <c r="D189" s="8">
        <f t="shared" si="9"/>
        <v>20</v>
      </c>
    </row>
    <row r="190" spans="1:21" x14ac:dyDescent="0.25">
      <c r="A190" t="s">
        <v>71</v>
      </c>
      <c r="B190">
        <v>30</v>
      </c>
      <c r="C190">
        <v>40</v>
      </c>
      <c r="D190" s="8">
        <f t="shared" si="9"/>
        <v>35</v>
      </c>
    </row>
    <row r="191" spans="1:21" x14ac:dyDescent="0.25">
      <c r="A191" t="s">
        <v>71</v>
      </c>
      <c r="B191">
        <v>18</v>
      </c>
      <c r="C191">
        <v>25</v>
      </c>
      <c r="D191" s="8">
        <f t="shared" si="9"/>
        <v>21.5</v>
      </c>
    </row>
    <row r="192" spans="1:21" x14ac:dyDescent="0.25">
      <c r="A192" t="s">
        <v>71</v>
      </c>
      <c r="B192">
        <v>15</v>
      </c>
      <c r="C192">
        <v>15</v>
      </c>
      <c r="D192" s="8">
        <f t="shared" si="9"/>
        <v>15</v>
      </c>
    </row>
    <row r="193" spans="1:4" x14ac:dyDescent="0.25">
      <c r="A193" t="s">
        <v>71</v>
      </c>
      <c r="B193">
        <v>15</v>
      </c>
      <c r="C193">
        <v>20</v>
      </c>
      <c r="D193" s="8">
        <f t="shared" si="9"/>
        <v>17.5</v>
      </c>
    </row>
    <row r="194" spans="1:4" x14ac:dyDescent="0.25">
      <c r="A194" t="s">
        <v>71</v>
      </c>
      <c r="B194">
        <v>15</v>
      </c>
      <c r="C194">
        <v>60</v>
      </c>
      <c r="D194" s="8">
        <f t="shared" si="9"/>
        <v>37.5</v>
      </c>
    </row>
    <row r="195" spans="1:4" x14ac:dyDescent="0.25">
      <c r="A195" t="s">
        <v>71</v>
      </c>
      <c r="B195">
        <v>20</v>
      </c>
      <c r="C195">
        <v>25</v>
      </c>
      <c r="D195" s="8">
        <f t="shared" si="9"/>
        <v>22.5</v>
      </c>
    </row>
    <row r="196" spans="1:4" x14ac:dyDescent="0.25">
      <c r="A196" t="s">
        <v>71</v>
      </c>
      <c r="B196">
        <v>15</v>
      </c>
      <c r="C196">
        <v>15</v>
      </c>
      <c r="D196" s="8">
        <f t="shared" si="9"/>
        <v>15</v>
      </c>
    </row>
    <row r="197" spans="1:4" x14ac:dyDescent="0.25">
      <c r="A197" t="s">
        <v>71</v>
      </c>
      <c r="B197">
        <v>15</v>
      </c>
      <c r="C197">
        <v>15</v>
      </c>
      <c r="D197" s="8">
        <f t="shared" si="9"/>
        <v>15</v>
      </c>
    </row>
    <row r="198" spans="1:4" x14ac:dyDescent="0.25">
      <c r="A198" t="s">
        <v>71</v>
      </c>
      <c r="B198">
        <v>20</v>
      </c>
      <c r="C198">
        <v>20</v>
      </c>
      <c r="D198" s="8">
        <f t="shared" si="9"/>
        <v>20</v>
      </c>
    </row>
    <row r="199" spans="1:4" x14ac:dyDescent="0.25">
      <c r="A199" t="s">
        <v>71</v>
      </c>
      <c r="B199">
        <v>15</v>
      </c>
      <c r="C199">
        <v>20</v>
      </c>
      <c r="D199" s="8">
        <f t="shared" si="9"/>
        <v>17.5</v>
      </c>
    </row>
    <row r="200" spans="1:4" x14ac:dyDescent="0.25">
      <c r="A200" t="s">
        <v>71</v>
      </c>
      <c r="B200">
        <v>15</v>
      </c>
      <c r="C200">
        <v>25</v>
      </c>
      <c r="D200" s="8">
        <f t="shared" si="9"/>
        <v>20</v>
      </c>
    </row>
    <row r="201" spans="1:4" x14ac:dyDescent="0.25">
      <c r="A201" t="s">
        <v>71</v>
      </c>
      <c r="B201" s="3" t="s">
        <v>277</v>
      </c>
      <c r="C201">
        <v>18</v>
      </c>
      <c r="D201" s="8">
        <f t="shared" si="9"/>
        <v>18</v>
      </c>
    </row>
    <row r="202" spans="1:4" x14ac:dyDescent="0.25">
      <c r="A202" t="s">
        <v>71</v>
      </c>
      <c r="B202">
        <v>15</v>
      </c>
      <c r="C202">
        <v>28</v>
      </c>
      <c r="D202" s="8">
        <f t="shared" si="9"/>
        <v>21.5</v>
      </c>
    </row>
    <row r="203" spans="1:4" ht="15.75" thickBot="1" x14ac:dyDescent="0.3">
      <c r="A203" s="13" t="s">
        <v>71</v>
      </c>
      <c r="B203">
        <v>25</v>
      </c>
      <c r="C203">
        <v>30</v>
      </c>
      <c r="D203" s="8">
        <f t="shared" si="9"/>
        <v>27.5</v>
      </c>
    </row>
    <row r="204" spans="1:4" x14ac:dyDescent="0.25">
      <c r="A204" t="s">
        <v>393</v>
      </c>
      <c r="B204" s="3" t="s">
        <v>274</v>
      </c>
      <c r="C204">
        <v>8</v>
      </c>
      <c r="D204" s="8">
        <f t="shared" si="9"/>
        <v>8</v>
      </c>
    </row>
    <row r="205" spans="1:4" x14ac:dyDescent="0.25">
      <c r="A205" t="s">
        <v>1239</v>
      </c>
      <c r="B205">
        <v>7</v>
      </c>
      <c r="C205">
        <v>7</v>
      </c>
      <c r="D205" s="8">
        <f t="shared" ref="D205:D209" si="10">AVERAGE(C205,B205)</f>
        <v>7</v>
      </c>
    </row>
    <row r="206" spans="1:4" x14ac:dyDescent="0.25">
      <c r="A206" t="s">
        <v>1240</v>
      </c>
      <c r="B206">
        <v>7</v>
      </c>
      <c r="C206">
        <v>7</v>
      </c>
      <c r="D206" s="8">
        <f t="shared" si="10"/>
        <v>7</v>
      </c>
    </row>
    <row r="207" spans="1:4" x14ac:dyDescent="0.25">
      <c r="A207" t="s">
        <v>1256</v>
      </c>
      <c r="B207">
        <v>12</v>
      </c>
      <c r="C207">
        <v>12</v>
      </c>
      <c r="D207" s="8">
        <f t="shared" si="10"/>
        <v>12</v>
      </c>
    </row>
    <row r="208" spans="1:4" x14ac:dyDescent="0.25">
      <c r="A208" t="s">
        <v>1256</v>
      </c>
      <c r="B208">
        <v>15</v>
      </c>
      <c r="C208">
        <v>20</v>
      </c>
      <c r="D208" s="8">
        <f t="shared" si="10"/>
        <v>17.5</v>
      </c>
    </row>
    <row r="209" spans="1:4" x14ac:dyDescent="0.25">
      <c r="A209" s="3" t="s">
        <v>1256</v>
      </c>
      <c r="B209" s="3" t="s">
        <v>333</v>
      </c>
      <c r="C209">
        <v>45</v>
      </c>
      <c r="D209" s="8">
        <f t="shared" si="10"/>
        <v>45</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Pucusana</vt:lpstr>
      <vt:lpstr>Marcona</vt:lpstr>
      <vt:lpstr>Andres</vt:lpstr>
      <vt:lpstr>Lomas</vt:lpstr>
      <vt:lpstr>Dias de faena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Cristel Cordero</dc:creator>
  <cp:lastModifiedBy>Kelly Diaz</cp:lastModifiedBy>
  <dcterms:created xsi:type="dcterms:W3CDTF">2025-04-14T22:15:11Z</dcterms:created>
  <dcterms:modified xsi:type="dcterms:W3CDTF">2026-04-01T23:50:26Z</dcterms:modified>
</cp:coreProperties>
</file>